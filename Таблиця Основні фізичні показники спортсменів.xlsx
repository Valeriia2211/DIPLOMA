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Лерок\Documents\ХНУРЕ ФИНАЛ\ДИПЛОМ\"/>
    </mc:Choice>
  </mc:AlternateContent>
  <xr:revisionPtr revIDLastSave="0" documentId="8_{BD34B2A1-4228-419B-84A5-AECEE9EB32C0}" xr6:coauthVersionLast="47" xr6:coauthVersionMax="47" xr10:uidLastSave="{00000000-0000-0000-0000-000000000000}"/>
  <bookViews>
    <workbookView xWindow="348" yWindow="348" windowWidth="2388" windowHeight="564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2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<sst xmlns="http://schemas.openxmlformats.org/spreadsheetml/2006/main" count="211" uniqueCount="35">
  <si>
    <t>Athlete_ID</t>
  </si>
  <si>
    <t>Gender</t>
  </si>
  <si>
    <t>Age</t>
  </si>
  <si>
    <t>Sport_Level</t>
  </si>
  <si>
    <t>Experience_Years</t>
  </si>
  <si>
    <t>Trainings_Per_Week</t>
  </si>
  <si>
    <t>Hours_Per_Training</t>
  </si>
  <si>
    <t>Push_Ups_1min</t>
  </si>
  <si>
    <t>Sit_Ups_1min</t>
  </si>
  <si>
    <t>Squats_1min</t>
  </si>
  <si>
    <t>Plank_sec</t>
  </si>
  <si>
    <t>Wall_Sit_sec</t>
  </si>
  <si>
    <t>Superman_sec</t>
  </si>
  <si>
    <t>Jumps_1min</t>
  </si>
  <si>
    <t>Flexibility_10</t>
  </si>
  <si>
    <t>Balance_Right_sec</t>
  </si>
  <si>
    <t>Balance_Left_sec</t>
  </si>
  <si>
    <t>Endurance_Index</t>
  </si>
  <si>
    <t>Final_Score</t>
  </si>
  <si>
    <t>F</t>
  </si>
  <si>
    <t>MS_International</t>
  </si>
  <si>
    <t>M</t>
  </si>
  <si>
    <t>MS_Ukraine</t>
  </si>
  <si>
    <t>Intermediate_3Y</t>
  </si>
  <si>
    <t>Intermediate_2Y</t>
  </si>
  <si>
    <t>Advanced_3Y</t>
  </si>
  <si>
    <t>Intermediate_3Y_4T</t>
  </si>
  <si>
    <t>Advanced_4Y</t>
  </si>
  <si>
    <t>Beginner</t>
  </si>
  <si>
    <t>Strength_Index</t>
  </si>
  <si>
    <t>Balance_Index</t>
  </si>
  <si>
    <t>Training_Load</t>
  </si>
  <si>
    <t>Рівень фізичної підготовки спортсменів.</t>
  </si>
  <si>
    <t>Показує рівень візичної підготовки</t>
  </si>
  <si>
    <t>Порівняння витривалості спортсменів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</si>
</sst>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3" fillId="0" borderId="0" xfId="0" applyFont="1" applyAlignment="1">
      <alignment vertical="center"/>
    </xf>
  </cellXfs>
  <cellStyles count="1">
    <cellStyle name="Звичайний" xfId="0" builtinId="0"/>
  </cellStyles>
  <dxfs count="2">
    <dxf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Dataset!$E$1</c:f>
              <c:strCache>
                <c:ptCount val="1"/>
                <c:pt idx="0">
                  <c:v>Experience_Years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Dataset!$E$2:$E$94</c:f>
              <c:numCache>
                <c:formatCode>General</c:formatCode>
                <c:ptCount val="93"/>
                <c:pt idx="0">
                  <c:v>10</c:v>
                </c:pt>
                <c:pt idx="1">
                  <c:v>12</c:v>
                </c:pt>
                <c:pt idx="2">
                  <c:v>10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10</c:v>
                </c:pt>
                <c:pt idx="7">
                  <c:v>14</c:v>
                </c:pt>
                <c:pt idx="8">
                  <c:v>12</c:v>
                </c:pt>
                <c:pt idx="9">
                  <c:v>15</c:v>
                </c:pt>
                <c:pt idx="10">
                  <c:v>10</c:v>
                </c:pt>
                <c:pt idx="11">
                  <c:v>16</c:v>
                </c:pt>
                <c:pt idx="12">
                  <c:v>10</c:v>
                </c:pt>
                <c:pt idx="13">
                  <c:v>17</c:v>
                </c:pt>
                <c:pt idx="14">
                  <c:v>10</c:v>
                </c:pt>
                <c:pt idx="15">
                  <c:v>10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A-4589-A28D-DF87127FA9A0}"/>
            </c:ext>
          </c:extLst>
        </c:ser>
        <c:ser>
          <c:idx val="1"/>
          <c:order val="1"/>
          <c:tx>
            <c:strRef>
              <c:f>Dataset!$F$1</c:f>
              <c:strCache>
                <c:ptCount val="1"/>
                <c:pt idx="0">
                  <c:v>Trainings_Per_Week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Dataset!$F$2:$F$94</c:f>
              <c:numCache>
                <c:formatCode>General</c:formatCode>
                <c:ptCount val="93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6A-4589-A28D-DF87127FA9A0}"/>
            </c:ext>
          </c:extLst>
        </c:ser>
        <c:ser>
          <c:idx val="2"/>
          <c:order val="2"/>
          <c:tx>
            <c:strRef>
              <c:f>Dataset!$G$1</c:f>
              <c:strCache>
                <c:ptCount val="1"/>
                <c:pt idx="0">
                  <c:v>Hours_Per_Training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Dataset!$G$2:$G$94</c:f>
              <c:numCache>
                <c:formatCode>General</c:formatCode>
                <c:ptCount val="93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1.5</c:v>
                </c:pt>
                <c:pt idx="75">
                  <c:v>1.5</c:v>
                </c:pt>
                <c:pt idx="76">
                  <c:v>1.5</c:v>
                </c:pt>
                <c:pt idx="77">
                  <c:v>1.5</c:v>
                </c:pt>
                <c:pt idx="78">
                  <c:v>1.5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1.5</c:v>
                </c:pt>
                <c:pt idx="83">
                  <c:v>1.5</c:v>
                </c:pt>
                <c:pt idx="84">
                  <c:v>1.5</c:v>
                </c:pt>
                <c:pt idx="85">
                  <c:v>1.5</c:v>
                </c:pt>
                <c:pt idx="86">
                  <c:v>1.5</c:v>
                </c:pt>
                <c:pt idx="87">
                  <c:v>1.5</c:v>
                </c:pt>
                <c:pt idx="88">
                  <c:v>1.5</c:v>
                </c:pt>
                <c:pt idx="89">
                  <c:v>1.5</c:v>
                </c:pt>
                <c:pt idx="90">
                  <c:v>1.5</c:v>
                </c:pt>
                <c:pt idx="91">
                  <c:v>1.5</c:v>
                </c:pt>
                <c:pt idx="92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6A-4589-A28D-DF87127FA9A0}"/>
            </c:ext>
          </c:extLst>
        </c:ser>
        <c:ser>
          <c:idx val="3"/>
          <c:order val="3"/>
          <c:tx>
            <c:strRef>
              <c:f>Dataset!$H$1</c:f>
              <c:strCache>
                <c:ptCount val="1"/>
                <c:pt idx="0">
                  <c:v>Push_Ups_1min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Dataset!$H$2:$H$94</c:f>
              <c:numCache>
                <c:formatCode>General</c:formatCode>
                <c:ptCount val="93"/>
                <c:pt idx="0">
                  <c:v>68</c:v>
                </c:pt>
                <c:pt idx="1">
                  <c:v>52</c:v>
                </c:pt>
                <c:pt idx="2">
                  <c:v>69</c:v>
                </c:pt>
                <c:pt idx="3">
                  <c:v>56</c:v>
                </c:pt>
                <c:pt idx="4">
                  <c:v>63</c:v>
                </c:pt>
                <c:pt idx="5">
                  <c:v>53</c:v>
                </c:pt>
                <c:pt idx="6">
                  <c:v>64</c:v>
                </c:pt>
                <c:pt idx="7">
                  <c:v>69</c:v>
                </c:pt>
                <c:pt idx="8">
                  <c:v>51</c:v>
                </c:pt>
                <c:pt idx="9">
                  <c:v>63</c:v>
                </c:pt>
                <c:pt idx="10">
                  <c:v>70</c:v>
                </c:pt>
                <c:pt idx="11">
                  <c:v>45</c:v>
                </c:pt>
                <c:pt idx="12">
                  <c:v>59</c:v>
                </c:pt>
                <c:pt idx="13">
                  <c:v>64</c:v>
                </c:pt>
                <c:pt idx="14">
                  <c:v>56</c:v>
                </c:pt>
                <c:pt idx="15">
                  <c:v>69</c:v>
                </c:pt>
                <c:pt idx="16">
                  <c:v>41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55</c:v>
                </c:pt>
                <c:pt idx="21">
                  <c:v>39</c:v>
                </c:pt>
                <c:pt idx="22">
                  <c:v>37</c:v>
                </c:pt>
                <c:pt idx="23">
                  <c:v>47</c:v>
                </c:pt>
                <c:pt idx="24">
                  <c:v>41</c:v>
                </c:pt>
                <c:pt idx="25">
                  <c:v>36</c:v>
                </c:pt>
                <c:pt idx="26">
                  <c:v>53</c:v>
                </c:pt>
                <c:pt idx="27">
                  <c:v>39</c:v>
                </c:pt>
                <c:pt idx="28">
                  <c:v>18</c:v>
                </c:pt>
                <c:pt idx="29">
                  <c:v>24</c:v>
                </c:pt>
                <c:pt idx="30">
                  <c:v>24</c:v>
                </c:pt>
                <c:pt idx="31">
                  <c:v>24</c:v>
                </c:pt>
                <c:pt idx="32">
                  <c:v>17</c:v>
                </c:pt>
                <c:pt idx="33">
                  <c:v>29</c:v>
                </c:pt>
                <c:pt idx="34">
                  <c:v>16</c:v>
                </c:pt>
                <c:pt idx="35">
                  <c:v>26</c:v>
                </c:pt>
                <c:pt idx="36">
                  <c:v>19</c:v>
                </c:pt>
                <c:pt idx="37">
                  <c:v>28</c:v>
                </c:pt>
                <c:pt idx="38">
                  <c:v>30</c:v>
                </c:pt>
                <c:pt idx="39">
                  <c:v>21</c:v>
                </c:pt>
                <c:pt idx="40">
                  <c:v>25</c:v>
                </c:pt>
                <c:pt idx="41">
                  <c:v>26</c:v>
                </c:pt>
                <c:pt idx="42">
                  <c:v>15</c:v>
                </c:pt>
                <c:pt idx="43">
                  <c:v>34</c:v>
                </c:pt>
                <c:pt idx="44">
                  <c:v>32</c:v>
                </c:pt>
                <c:pt idx="45">
                  <c:v>27</c:v>
                </c:pt>
                <c:pt idx="46">
                  <c:v>29</c:v>
                </c:pt>
                <c:pt idx="47">
                  <c:v>25</c:v>
                </c:pt>
                <c:pt idx="48">
                  <c:v>32</c:v>
                </c:pt>
                <c:pt idx="49">
                  <c:v>20</c:v>
                </c:pt>
                <c:pt idx="50">
                  <c:v>33</c:v>
                </c:pt>
                <c:pt idx="51">
                  <c:v>31</c:v>
                </c:pt>
                <c:pt idx="52">
                  <c:v>27</c:v>
                </c:pt>
                <c:pt idx="53">
                  <c:v>30</c:v>
                </c:pt>
                <c:pt idx="54">
                  <c:v>29</c:v>
                </c:pt>
                <c:pt idx="55">
                  <c:v>40</c:v>
                </c:pt>
                <c:pt idx="56">
                  <c:v>29</c:v>
                </c:pt>
                <c:pt idx="57">
                  <c:v>21</c:v>
                </c:pt>
                <c:pt idx="58">
                  <c:v>28</c:v>
                </c:pt>
                <c:pt idx="59">
                  <c:v>20</c:v>
                </c:pt>
                <c:pt idx="60">
                  <c:v>34</c:v>
                </c:pt>
                <c:pt idx="61">
                  <c:v>29</c:v>
                </c:pt>
                <c:pt idx="62">
                  <c:v>29</c:v>
                </c:pt>
                <c:pt idx="63">
                  <c:v>20</c:v>
                </c:pt>
                <c:pt idx="64">
                  <c:v>25</c:v>
                </c:pt>
                <c:pt idx="65">
                  <c:v>27</c:v>
                </c:pt>
                <c:pt idx="66">
                  <c:v>30</c:v>
                </c:pt>
                <c:pt idx="67">
                  <c:v>28</c:v>
                </c:pt>
                <c:pt idx="68">
                  <c:v>42</c:v>
                </c:pt>
                <c:pt idx="69">
                  <c:v>39</c:v>
                </c:pt>
                <c:pt idx="70">
                  <c:v>38</c:v>
                </c:pt>
                <c:pt idx="71">
                  <c:v>37</c:v>
                </c:pt>
                <c:pt idx="72">
                  <c:v>29</c:v>
                </c:pt>
                <c:pt idx="73">
                  <c:v>29</c:v>
                </c:pt>
                <c:pt idx="74">
                  <c:v>14</c:v>
                </c:pt>
                <c:pt idx="75">
                  <c:v>14</c:v>
                </c:pt>
                <c:pt idx="76">
                  <c:v>7</c:v>
                </c:pt>
                <c:pt idx="77">
                  <c:v>19</c:v>
                </c:pt>
                <c:pt idx="78">
                  <c:v>9</c:v>
                </c:pt>
                <c:pt idx="79">
                  <c:v>14</c:v>
                </c:pt>
                <c:pt idx="80">
                  <c:v>13</c:v>
                </c:pt>
                <c:pt idx="81">
                  <c:v>19</c:v>
                </c:pt>
                <c:pt idx="82">
                  <c:v>10</c:v>
                </c:pt>
                <c:pt idx="83">
                  <c:v>13</c:v>
                </c:pt>
                <c:pt idx="84">
                  <c:v>16</c:v>
                </c:pt>
                <c:pt idx="85">
                  <c:v>20</c:v>
                </c:pt>
                <c:pt idx="86">
                  <c:v>8</c:v>
                </c:pt>
                <c:pt idx="87">
                  <c:v>20</c:v>
                </c:pt>
                <c:pt idx="88">
                  <c:v>7</c:v>
                </c:pt>
                <c:pt idx="89">
                  <c:v>20</c:v>
                </c:pt>
                <c:pt idx="90">
                  <c:v>15</c:v>
                </c:pt>
                <c:pt idx="91">
                  <c:v>20</c:v>
                </c:pt>
                <c:pt idx="9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6A-4589-A28D-DF87127FA9A0}"/>
            </c:ext>
          </c:extLst>
        </c:ser>
        <c:ser>
          <c:idx val="4"/>
          <c:order val="4"/>
          <c:tx>
            <c:strRef>
              <c:f>Dataset!$I$1</c:f>
              <c:strCache>
                <c:ptCount val="1"/>
                <c:pt idx="0">
                  <c:v>Sit_Ups_1min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Dataset!$I$2:$I$94</c:f>
              <c:numCache>
                <c:formatCode>General</c:formatCode>
                <c:ptCount val="93"/>
                <c:pt idx="0">
                  <c:v>58</c:v>
                </c:pt>
                <c:pt idx="1">
                  <c:v>66</c:v>
                </c:pt>
                <c:pt idx="2">
                  <c:v>75</c:v>
                </c:pt>
                <c:pt idx="3">
                  <c:v>77</c:v>
                </c:pt>
                <c:pt idx="4">
                  <c:v>56</c:v>
                </c:pt>
                <c:pt idx="5">
                  <c:v>64</c:v>
                </c:pt>
                <c:pt idx="6">
                  <c:v>70</c:v>
                </c:pt>
                <c:pt idx="7">
                  <c:v>74</c:v>
                </c:pt>
                <c:pt idx="8">
                  <c:v>70</c:v>
                </c:pt>
                <c:pt idx="9">
                  <c:v>62</c:v>
                </c:pt>
                <c:pt idx="10">
                  <c:v>71</c:v>
                </c:pt>
                <c:pt idx="11">
                  <c:v>71</c:v>
                </c:pt>
                <c:pt idx="12">
                  <c:v>50</c:v>
                </c:pt>
                <c:pt idx="13">
                  <c:v>56</c:v>
                </c:pt>
                <c:pt idx="14">
                  <c:v>78</c:v>
                </c:pt>
                <c:pt idx="15">
                  <c:v>67</c:v>
                </c:pt>
                <c:pt idx="16">
                  <c:v>69</c:v>
                </c:pt>
                <c:pt idx="17">
                  <c:v>42</c:v>
                </c:pt>
                <c:pt idx="18">
                  <c:v>42</c:v>
                </c:pt>
                <c:pt idx="19">
                  <c:v>65</c:v>
                </c:pt>
                <c:pt idx="20">
                  <c:v>60</c:v>
                </c:pt>
                <c:pt idx="21">
                  <c:v>53</c:v>
                </c:pt>
                <c:pt idx="22">
                  <c:v>69</c:v>
                </c:pt>
                <c:pt idx="23">
                  <c:v>48</c:v>
                </c:pt>
                <c:pt idx="24">
                  <c:v>70</c:v>
                </c:pt>
                <c:pt idx="25">
                  <c:v>70</c:v>
                </c:pt>
                <c:pt idx="26">
                  <c:v>59</c:v>
                </c:pt>
                <c:pt idx="27">
                  <c:v>61</c:v>
                </c:pt>
                <c:pt idx="28">
                  <c:v>20</c:v>
                </c:pt>
                <c:pt idx="29">
                  <c:v>23</c:v>
                </c:pt>
                <c:pt idx="30">
                  <c:v>39</c:v>
                </c:pt>
                <c:pt idx="31">
                  <c:v>37</c:v>
                </c:pt>
                <c:pt idx="32">
                  <c:v>38</c:v>
                </c:pt>
                <c:pt idx="33">
                  <c:v>35</c:v>
                </c:pt>
                <c:pt idx="34">
                  <c:v>29</c:v>
                </c:pt>
                <c:pt idx="35">
                  <c:v>24</c:v>
                </c:pt>
                <c:pt idx="36">
                  <c:v>25</c:v>
                </c:pt>
                <c:pt idx="37">
                  <c:v>39</c:v>
                </c:pt>
                <c:pt idx="38">
                  <c:v>25</c:v>
                </c:pt>
                <c:pt idx="39">
                  <c:v>30</c:v>
                </c:pt>
                <c:pt idx="40">
                  <c:v>18</c:v>
                </c:pt>
                <c:pt idx="41">
                  <c:v>28</c:v>
                </c:pt>
                <c:pt idx="42">
                  <c:v>34</c:v>
                </c:pt>
                <c:pt idx="43">
                  <c:v>28</c:v>
                </c:pt>
                <c:pt idx="44">
                  <c:v>22</c:v>
                </c:pt>
                <c:pt idx="45">
                  <c:v>35</c:v>
                </c:pt>
                <c:pt idx="46">
                  <c:v>32</c:v>
                </c:pt>
                <c:pt idx="47">
                  <c:v>20</c:v>
                </c:pt>
                <c:pt idx="48">
                  <c:v>27</c:v>
                </c:pt>
                <c:pt idx="49">
                  <c:v>30</c:v>
                </c:pt>
                <c:pt idx="50">
                  <c:v>26</c:v>
                </c:pt>
                <c:pt idx="51">
                  <c:v>22</c:v>
                </c:pt>
                <c:pt idx="52">
                  <c:v>23</c:v>
                </c:pt>
                <c:pt idx="53">
                  <c:v>23</c:v>
                </c:pt>
                <c:pt idx="54">
                  <c:v>25</c:v>
                </c:pt>
                <c:pt idx="55">
                  <c:v>35</c:v>
                </c:pt>
                <c:pt idx="56">
                  <c:v>45</c:v>
                </c:pt>
                <c:pt idx="57">
                  <c:v>28</c:v>
                </c:pt>
                <c:pt idx="58">
                  <c:v>22</c:v>
                </c:pt>
                <c:pt idx="59">
                  <c:v>27</c:v>
                </c:pt>
                <c:pt idx="60">
                  <c:v>28</c:v>
                </c:pt>
                <c:pt idx="61">
                  <c:v>38</c:v>
                </c:pt>
                <c:pt idx="62">
                  <c:v>23</c:v>
                </c:pt>
                <c:pt idx="63">
                  <c:v>33</c:v>
                </c:pt>
                <c:pt idx="64">
                  <c:v>36</c:v>
                </c:pt>
                <c:pt idx="65">
                  <c:v>22</c:v>
                </c:pt>
                <c:pt idx="66">
                  <c:v>25</c:v>
                </c:pt>
                <c:pt idx="67">
                  <c:v>46</c:v>
                </c:pt>
                <c:pt idx="68">
                  <c:v>30</c:v>
                </c:pt>
                <c:pt idx="69">
                  <c:v>43</c:v>
                </c:pt>
                <c:pt idx="70">
                  <c:v>33</c:v>
                </c:pt>
                <c:pt idx="71">
                  <c:v>33</c:v>
                </c:pt>
                <c:pt idx="72">
                  <c:v>47</c:v>
                </c:pt>
                <c:pt idx="73">
                  <c:v>38</c:v>
                </c:pt>
                <c:pt idx="74">
                  <c:v>10</c:v>
                </c:pt>
                <c:pt idx="75">
                  <c:v>21</c:v>
                </c:pt>
                <c:pt idx="76">
                  <c:v>13</c:v>
                </c:pt>
                <c:pt idx="77">
                  <c:v>10</c:v>
                </c:pt>
                <c:pt idx="78">
                  <c:v>16</c:v>
                </c:pt>
                <c:pt idx="79">
                  <c:v>20</c:v>
                </c:pt>
                <c:pt idx="80">
                  <c:v>8</c:v>
                </c:pt>
                <c:pt idx="81">
                  <c:v>16</c:v>
                </c:pt>
                <c:pt idx="82">
                  <c:v>18</c:v>
                </c:pt>
                <c:pt idx="83">
                  <c:v>18</c:v>
                </c:pt>
                <c:pt idx="84">
                  <c:v>23</c:v>
                </c:pt>
                <c:pt idx="85">
                  <c:v>11</c:v>
                </c:pt>
                <c:pt idx="86">
                  <c:v>22</c:v>
                </c:pt>
                <c:pt idx="87">
                  <c:v>23</c:v>
                </c:pt>
                <c:pt idx="88">
                  <c:v>16</c:v>
                </c:pt>
                <c:pt idx="89">
                  <c:v>12</c:v>
                </c:pt>
                <c:pt idx="90">
                  <c:v>14</c:v>
                </c:pt>
                <c:pt idx="91">
                  <c:v>20</c:v>
                </c:pt>
                <c:pt idx="9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6A-4589-A28D-DF87127FA9A0}"/>
            </c:ext>
          </c:extLst>
        </c:ser>
        <c:ser>
          <c:idx val="5"/>
          <c:order val="5"/>
          <c:tx>
            <c:strRef>
              <c:f>Dataset!$J$1</c:f>
              <c:strCache>
                <c:ptCount val="1"/>
                <c:pt idx="0">
                  <c:v>Squats_1min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Dataset!$J$2:$J$94</c:f>
              <c:numCache>
                <c:formatCode>General</c:formatCode>
                <c:ptCount val="93"/>
                <c:pt idx="0">
                  <c:v>77</c:v>
                </c:pt>
                <c:pt idx="1">
                  <c:v>89</c:v>
                </c:pt>
                <c:pt idx="2">
                  <c:v>75</c:v>
                </c:pt>
                <c:pt idx="3">
                  <c:v>81</c:v>
                </c:pt>
                <c:pt idx="4">
                  <c:v>92</c:v>
                </c:pt>
                <c:pt idx="5">
                  <c:v>90</c:v>
                </c:pt>
                <c:pt idx="6">
                  <c:v>75</c:v>
                </c:pt>
                <c:pt idx="7">
                  <c:v>71</c:v>
                </c:pt>
                <c:pt idx="8">
                  <c:v>85</c:v>
                </c:pt>
                <c:pt idx="9">
                  <c:v>81</c:v>
                </c:pt>
                <c:pt idx="10">
                  <c:v>83</c:v>
                </c:pt>
                <c:pt idx="11">
                  <c:v>93</c:v>
                </c:pt>
                <c:pt idx="12">
                  <c:v>100</c:v>
                </c:pt>
                <c:pt idx="13">
                  <c:v>74</c:v>
                </c:pt>
                <c:pt idx="14">
                  <c:v>96</c:v>
                </c:pt>
                <c:pt idx="15">
                  <c:v>94</c:v>
                </c:pt>
                <c:pt idx="16">
                  <c:v>77</c:v>
                </c:pt>
                <c:pt idx="17">
                  <c:v>70</c:v>
                </c:pt>
                <c:pt idx="18">
                  <c:v>88</c:v>
                </c:pt>
                <c:pt idx="19">
                  <c:v>75</c:v>
                </c:pt>
                <c:pt idx="20">
                  <c:v>63</c:v>
                </c:pt>
                <c:pt idx="21">
                  <c:v>65</c:v>
                </c:pt>
                <c:pt idx="22">
                  <c:v>84</c:v>
                </c:pt>
                <c:pt idx="23">
                  <c:v>89</c:v>
                </c:pt>
                <c:pt idx="24">
                  <c:v>61</c:v>
                </c:pt>
                <c:pt idx="25">
                  <c:v>76</c:v>
                </c:pt>
                <c:pt idx="26">
                  <c:v>61</c:v>
                </c:pt>
                <c:pt idx="27">
                  <c:v>80</c:v>
                </c:pt>
                <c:pt idx="28">
                  <c:v>52</c:v>
                </c:pt>
                <c:pt idx="29">
                  <c:v>49</c:v>
                </c:pt>
                <c:pt idx="30">
                  <c:v>38</c:v>
                </c:pt>
                <c:pt idx="31">
                  <c:v>41</c:v>
                </c:pt>
                <c:pt idx="32">
                  <c:v>48</c:v>
                </c:pt>
                <c:pt idx="33">
                  <c:v>57</c:v>
                </c:pt>
                <c:pt idx="34">
                  <c:v>53</c:v>
                </c:pt>
                <c:pt idx="35">
                  <c:v>56</c:v>
                </c:pt>
                <c:pt idx="36">
                  <c:v>62</c:v>
                </c:pt>
                <c:pt idx="37">
                  <c:v>62</c:v>
                </c:pt>
                <c:pt idx="38">
                  <c:v>41</c:v>
                </c:pt>
                <c:pt idx="39">
                  <c:v>45</c:v>
                </c:pt>
                <c:pt idx="40">
                  <c:v>38</c:v>
                </c:pt>
                <c:pt idx="41">
                  <c:v>48</c:v>
                </c:pt>
                <c:pt idx="42">
                  <c:v>64</c:v>
                </c:pt>
                <c:pt idx="43">
                  <c:v>56</c:v>
                </c:pt>
                <c:pt idx="44">
                  <c:v>41</c:v>
                </c:pt>
                <c:pt idx="45">
                  <c:v>61</c:v>
                </c:pt>
                <c:pt idx="46">
                  <c:v>56</c:v>
                </c:pt>
                <c:pt idx="47">
                  <c:v>61</c:v>
                </c:pt>
                <c:pt idx="48">
                  <c:v>40</c:v>
                </c:pt>
                <c:pt idx="49">
                  <c:v>51</c:v>
                </c:pt>
                <c:pt idx="50">
                  <c:v>57</c:v>
                </c:pt>
                <c:pt idx="51">
                  <c:v>45</c:v>
                </c:pt>
                <c:pt idx="52">
                  <c:v>55</c:v>
                </c:pt>
                <c:pt idx="53">
                  <c:v>55</c:v>
                </c:pt>
                <c:pt idx="54">
                  <c:v>38</c:v>
                </c:pt>
                <c:pt idx="55">
                  <c:v>53</c:v>
                </c:pt>
                <c:pt idx="56">
                  <c:v>45</c:v>
                </c:pt>
                <c:pt idx="57">
                  <c:v>52</c:v>
                </c:pt>
                <c:pt idx="58">
                  <c:v>55</c:v>
                </c:pt>
                <c:pt idx="59">
                  <c:v>46</c:v>
                </c:pt>
                <c:pt idx="60">
                  <c:v>64</c:v>
                </c:pt>
                <c:pt idx="61">
                  <c:v>61</c:v>
                </c:pt>
                <c:pt idx="62">
                  <c:v>65</c:v>
                </c:pt>
                <c:pt idx="63">
                  <c:v>66</c:v>
                </c:pt>
                <c:pt idx="64">
                  <c:v>60</c:v>
                </c:pt>
                <c:pt idx="65">
                  <c:v>48</c:v>
                </c:pt>
                <c:pt idx="66">
                  <c:v>55</c:v>
                </c:pt>
                <c:pt idx="67">
                  <c:v>56</c:v>
                </c:pt>
                <c:pt idx="68">
                  <c:v>52</c:v>
                </c:pt>
                <c:pt idx="69">
                  <c:v>73</c:v>
                </c:pt>
                <c:pt idx="70">
                  <c:v>73</c:v>
                </c:pt>
                <c:pt idx="71">
                  <c:v>56</c:v>
                </c:pt>
                <c:pt idx="72">
                  <c:v>59</c:v>
                </c:pt>
                <c:pt idx="73">
                  <c:v>65</c:v>
                </c:pt>
                <c:pt idx="74">
                  <c:v>22</c:v>
                </c:pt>
                <c:pt idx="75">
                  <c:v>24</c:v>
                </c:pt>
                <c:pt idx="76">
                  <c:v>15</c:v>
                </c:pt>
                <c:pt idx="77">
                  <c:v>36</c:v>
                </c:pt>
                <c:pt idx="78">
                  <c:v>41</c:v>
                </c:pt>
                <c:pt idx="79">
                  <c:v>45</c:v>
                </c:pt>
                <c:pt idx="80">
                  <c:v>17</c:v>
                </c:pt>
                <c:pt idx="81">
                  <c:v>20</c:v>
                </c:pt>
                <c:pt idx="82">
                  <c:v>28</c:v>
                </c:pt>
                <c:pt idx="83">
                  <c:v>18</c:v>
                </c:pt>
                <c:pt idx="84">
                  <c:v>35</c:v>
                </c:pt>
                <c:pt idx="85">
                  <c:v>15</c:v>
                </c:pt>
                <c:pt idx="86">
                  <c:v>45</c:v>
                </c:pt>
                <c:pt idx="87">
                  <c:v>22</c:v>
                </c:pt>
                <c:pt idx="88">
                  <c:v>39</c:v>
                </c:pt>
                <c:pt idx="89">
                  <c:v>29</c:v>
                </c:pt>
                <c:pt idx="90">
                  <c:v>37</c:v>
                </c:pt>
                <c:pt idx="91">
                  <c:v>27</c:v>
                </c:pt>
                <c:pt idx="9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6A-4589-A28D-DF87127FA9A0}"/>
            </c:ext>
          </c:extLst>
        </c:ser>
        <c:ser>
          <c:idx val="6"/>
          <c:order val="6"/>
          <c:tx>
            <c:strRef>
              <c:f>Dataset!$K$1</c:f>
              <c:strCache>
                <c:ptCount val="1"/>
                <c:pt idx="0">
                  <c:v>Plank_sec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Dataset!$K$2:$K$94</c:f>
              <c:numCache>
                <c:formatCode>General</c:formatCode>
                <c:ptCount val="93"/>
                <c:pt idx="0">
                  <c:v>297</c:v>
                </c:pt>
                <c:pt idx="1">
                  <c:v>246</c:v>
                </c:pt>
                <c:pt idx="2">
                  <c:v>418</c:v>
                </c:pt>
                <c:pt idx="3">
                  <c:v>394</c:v>
                </c:pt>
                <c:pt idx="4">
                  <c:v>257</c:v>
                </c:pt>
                <c:pt idx="5">
                  <c:v>333</c:v>
                </c:pt>
                <c:pt idx="6">
                  <c:v>376</c:v>
                </c:pt>
                <c:pt idx="7">
                  <c:v>298</c:v>
                </c:pt>
                <c:pt idx="8">
                  <c:v>341</c:v>
                </c:pt>
                <c:pt idx="9">
                  <c:v>296</c:v>
                </c:pt>
                <c:pt idx="10">
                  <c:v>392</c:v>
                </c:pt>
                <c:pt idx="11">
                  <c:v>269</c:v>
                </c:pt>
                <c:pt idx="12">
                  <c:v>307</c:v>
                </c:pt>
                <c:pt idx="13">
                  <c:v>335</c:v>
                </c:pt>
                <c:pt idx="14">
                  <c:v>318</c:v>
                </c:pt>
                <c:pt idx="15">
                  <c:v>272</c:v>
                </c:pt>
                <c:pt idx="16">
                  <c:v>231</c:v>
                </c:pt>
                <c:pt idx="17">
                  <c:v>185</c:v>
                </c:pt>
                <c:pt idx="18">
                  <c:v>188</c:v>
                </c:pt>
                <c:pt idx="19">
                  <c:v>284</c:v>
                </c:pt>
                <c:pt idx="20">
                  <c:v>195</c:v>
                </c:pt>
                <c:pt idx="21">
                  <c:v>251</c:v>
                </c:pt>
                <c:pt idx="22">
                  <c:v>240</c:v>
                </c:pt>
                <c:pt idx="23">
                  <c:v>296</c:v>
                </c:pt>
                <c:pt idx="24">
                  <c:v>318</c:v>
                </c:pt>
                <c:pt idx="25">
                  <c:v>200</c:v>
                </c:pt>
                <c:pt idx="26">
                  <c:v>200</c:v>
                </c:pt>
                <c:pt idx="27">
                  <c:v>256</c:v>
                </c:pt>
                <c:pt idx="28">
                  <c:v>87</c:v>
                </c:pt>
                <c:pt idx="29">
                  <c:v>166</c:v>
                </c:pt>
                <c:pt idx="30">
                  <c:v>180</c:v>
                </c:pt>
                <c:pt idx="31">
                  <c:v>151</c:v>
                </c:pt>
                <c:pt idx="32">
                  <c:v>166</c:v>
                </c:pt>
                <c:pt idx="33">
                  <c:v>114</c:v>
                </c:pt>
                <c:pt idx="34">
                  <c:v>130</c:v>
                </c:pt>
                <c:pt idx="35">
                  <c:v>91</c:v>
                </c:pt>
                <c:pt idx="36">
                  <c:v>80</c:v>
                </c:pt>
                <c:pt idx="37">
                  <c:v>154</c:v>
                </c:pt>
                <c:pt idx="38">
                  <c:v>164</c:v>
                </c:pt>
                <c:pt idx="39">
                  <c:v>95</c:v>
                </c:pt>
                <c:pt idx="40">
                  <c:v>172</c:v>
                </c:pt>
                <c:pt idx="41">
                  <c:v>137</c:v>
                </c:pt>
                <c:pt idx="42">
                  <c:v>163</c:v>
                </c:pt>
                <c:pt idx="43">
                  <c:v>168</c:v>
                </c:pt>
                <c:pt idx="44">
                  <c:v>113</c:v>
                </c:pt>
                <c:pt idx="45">
                  <c:v>60</c:v>
                </c:pt>
                <c:pt idx="46">
                  <c:v>87</c:v>
                </c:pt>
                <c:pt idx="47">
                  <c:v>156</c:v>
                </c:pt>
                <c:pt idx="48">
                  <c:v>149</c:v>
                </c:pt>
                <c:pt idx="49">
                  <c:v>134</c:v>
                </c:pt>
                <c:pt idx="50">
                  <c:v>140</c:v>
                </c:pt>
                <c:pt idx="51">
                  <c:v>137</c:v>
                </c:pt>
                <c:pt idx="52">
                  <c:v>125</c:v>
                </c:pt>
                <c:pt idx="53">
                  <c:v>149</c:v>
                </c:pt>
                <c:pt idx="54">
                  <c:v>142</c:v>
                </c:pt>
                <c:pt idx="55">
                  <c:v>155</c:v>
                </c:pt>
                <c:pt idx="56">
                  <c:v>216</c:v>
                </c:pt>
                <c:pt idx="57">
                  <c:v>131</c:v>
                </c:pt>
                <c:pt idx="58">
                  <c:v>92</c:v>
                </c:pt>
                <c:pt idx="59">
                  <c:v>197</c:v>
                </c:pt>
                <c:pt idx="60">
                  <c:v>137</c:v>
                </c:pt>
                <c:pt idx="61">
                  <c:v>138</c:v>
                </c:pt>
                <c:pt idx="62">
                  <c:v>162</c:v>
                </c:pt>
                <c:pt idx="63">
                  <c:v>152</c:v>
                </c:pt>
                <c:pt idx="64">
                  <c:v>124</c:v>
                </c:pt>
                <c:pt idx="65">
                  <c:v>147</c:v>
                </c:pt>
                <c:pt idx="66">
                  <c:v>117</c:v>
                </c:pt>
                <c:pt idx="67">
                  <c:v>141</c:v>
                </c:pt>
                <c:pt idx="68">
                  <c:v>195</c:v>
                </c:pt>
                <c:pt idx="69">
                  <c:v>260</c:v>
                </c:pt>
                <c:pt idx="70">
                  <c:v>257</c:v>
                </c:pt>
                <c:pt idx="71">
                  <c:v>195</c:v>
                </c:pt>
                <c:pt idx="72">
                  <c:v>152</c:v>
                </c:pt>
                <c:pt idx="73">
                  <c:v>149</c:v>
                </c:pt>
                <c:pt idx="74">
                  <c:v>35</c:v>
                </c:pt>
                <c:pt idx="75">
                  <c:v>27</c:v>
                </c:pt>
                <c:pt idx="76">
                  <c:v>72</c:v>
                </c:pt>
                <c:pt idx="77">
                  <c:v>49</c:v>
                </c:pt>
                <c:pt idx="78">
                  <c:v>38</c:v>
                </c:pt>
                <c:pt idx="79">
                  <c:v>54</c:v>
                </c:pt>
                <c:pt idx="80">
                  <c:v>49</c:v>
                </c:pt>
                <c:pt idx="81">
                  <c:v>75</c:v>
                </c:pt>
                <c:pt idx="82">
                  <c:v>83</c:v>
                </c:pt>
                <c:pt idx="83">
                  <c:v>71</c:v>
                </c:pt>
                <c:pt idx="84">
                  <c:v>76</c:v>
                </c:pt>
                <c:pt idx="85">
                  <c:v>50</c:v>
                </c:pt>
                <c:pt idx="86">
                  <c:v>35</c:v>
                </c:pt>
                <c:pt idx="87">
                  <c:v>78</c:v>
                </c:pt>
                <c:pt idx="88">
                  <c:v>73</c:v>
                </c:pt>
                <c:pt idx="89">
                  <c:v>88</c:v>
                </c:pt>
                <c:pt idx="90">
                  <c:v>50</c:v>
                </c:pt>
                <c:pt idx="91">
                  <c:v>39</c:v>
                </c:pt>
                <c:pt idx="9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6A-4589-A28D-DF87127FA9A0}"/>
            </c:ext>
          </c:extLst>
        </c:ser>
        <c:ser>
          <c:idx val="7"/>
          <c:order val="7"/>
          <c:tx>
            <c:strRef>
              <c:f>Dataset!$L$1</c:f>
              <c:strCache>
                <c:ptCount val="1"/>
                <c:pt idx="0">
                  <c:v>Wall_Sit_sec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Dataset!$L$2:$L$94</c:f>
              <c:numCache>
                <c:formatCode>General</c:formatCode>
                <c:ptCount val="93"/>
                <c:pt idx="0">
                  <c:v>215</c:v>
                </c:pt>
                <c:pt idx="1">
                  <c:v>323</c:v>
                </c:pt>
                <c:pt idx="2">
                  <c:v>288</c:v>
                </c:pt>
                <c:pt idx="3">
                  <c:v>247</c:v>
                </c:pt>
                <c:pt idx="4">
                  <c:v>191</c:v>
                </c:pt>
                <c:pt idx="5">
                  <c:v>221</c:v>
                </c:pt>
                <c:pt idx="6">
                  <c:v>242</c:v>
                </c:pt>
                <c:pt idx="7">
                  <c:v>188</c:v>
                </c:pt>
                <c:pt idx="8">
                  <c:v>344</c:v>
                </c:pt>
                <c:pt idx="9">
                  <c:v>215</c:v>
                </c:pt>
                <c:pt idx="10">
                  <c:v>196</c:v>
                </c:pt>
                <c:pt idx="11">
                  <c:v>354</c:v>
                </c:pt>
                <c:pt idx="12">
                  <c:v>308</c:v>
                </c:pt>
                <c:pt idx="13">
                  <c:v>221</c:v>
                </c:pt>
                <c:pt idx="14">
                  <c:v>241</c:v>
                </c:pt>
                <c:pt idx="15">
                  <c:v>212</c:v>
                </c:pt>
                <c:pt idx="16">
                  <c:v>199</c:v>
                </c:pt>
                <c:pt idx="17">
                  <c:v>270</c:v>
                </c:pt>
                <c:pt idx="18">
                  <c:v>204</c:v>
                </c:pt>
                <c:pt idx="19">
                  <c:v>168</c:v>
                </c:pt>
                <c:pt idx="20">
                  <c:v>223</c:v>
                </c:pt>
                <c:pt idx="21">
                  <c:v>238</c:v>
                </c:pt>
                <c:pt idx="22">
                  <c:v>162</c:v>
                </c:pt>
                <c:pt idx="23">
                  <c:v>193</c:v>
                </c:pt>
                <c:pt idx="24">
                  <c:v>135</c:v>
                </c:pt>
                <c:pt idx="25">
                  <c:v>167</c:v>
                </c:pt>
                <c:pt idx="26">
                  <c:v>227</c:v>
                </c:pt>
                <c:pt idx="27">
                  <c:v>237</c:v>
                </c:pt>
                <c:pt idx="28">
                  <c:v>104</c:v>
                </c:pt>
                <c:pt idx="29">
                  <c:v>109</c:v>
                </c:pt>
                <c:pt idx="30">
                  <c:v>152</c:v>
                </c:pt>
                <c:pt idx="31">
                  <c:v>83</c:v>
                </c:pt>
                <c:pt idx="32">
                  <c:v>75</c:v>
                </c:pt>
                <c:pt idx="33">
                  <c:v>111</c:v>
                </c:pt>
                <c:pt idx="34">
                  <c:v>58</c:v>
                </c:pt>
                <c:pt idx="35">
                  <c:v>125</c:v>
                </c:pt>
                <c:pt idx="36">
                  <c:v>142</c:v>
                </c:pt>
                <c:pt idx="37">
                  <c:v>143</c:v>
                </c:pt>
                <c:pt idx="38">
                  <c:v>157</c:v>
                </c:pt>
                <c:pt idx="39">
                  <c:v>150</c:v>
                </c:pt>
                <c:pt idx="40">
                  <c:v>73</c:v>
                </c:pt>
                <c:pt idx="41">
                  <c:v>105</c:v>
                </c:pt>
                <c:pt idx="42">
                  <c:v>108</c:v>
                </c:pt>
                <c:pt idx="43">
                  <c:v>55</c:v>
                </c:pt>
                <c:pt idx="44">
                  <c:v>125</c:v>
                </c:pt>
                <c:pt idx="45">
                  <c:v>78</c:v>
                </c:pt>
                <c:pt idx="46">
                  <c:v>105</c:v>
                </c:pt>
                <c:pt idx="47">
                  <c:v>70</c:v>
                </c:pt>
                <c:pt idx="48">
                  <c:v>123</c:v>
                </c:pt>
                <c:pt idx="49">
                  <c:v>92</c:v>
                </c:pt>
                <c:pt idx="50">
                  <c:v>166</c:v>
                </c:pt>
                <c:pt idx="51">
                  <c:v>168</c:v>
                </c:pt>
                <c:pt idx="52">
                  <c:v>87</c:v>
                </c:pt>
                <c:pt idx="53">
                  <c:v>123</c:v>
                </c:pt>
                <c:pt idx="54">
                  <c:v>108</c:v>
                </c:pt>
                <c:pt idx="55">
                  <c:v>142</c:v>
                </c:pt>
                <c:pt idx="56">
                  <c:v>130</c:v>
                </c:pt>
                <c:pt idx="57">
                  <c:v>97</c:v>
                </c:pt>
                <c:pt idx="58">
                  <c:v>165</c:v>
                </c:pt>
                <c:pt idx="59">
                  <c:v>72</c:v>
                </c:pt>
                <c:pt idx="60">
                  <c:v>91</c:v>
                </c:pt>
                <c:pt idx="61">
                  <c:v>120</c:v>
                </c:pt>
                <c:pt idx="62">
                  <c:v>170</c:v>
                </c:pt>
                <c:pt idx="63">
                  <c:v>83</c:v>
                </c:pt>
                <c:pt idx="64">
                  <c:v>148</c:v>
                </c:pt>
                <c:pt idx="65">
                  <c:v>101</c:v>
                </c:pt>
                <c:pt idx="66">
                  <c:v>115</c:v>
                </c:pt>
                <c:pt idx="67">
                  <c:v>151</c:v>
                </c:pt>
                <c:pt idx="68">
                  <c:v>146</c:v>
                </c:pt>
                <c:pt idx="69">
                  <c:v>174</c:v>
                </c:pt>
                <c:pt idx="70">
                  <c:v>137</c:v>
                </c:pt>
                <c:pt idx="71">
                  <c:v>148</c:v>
                </c:pt>
                <c:pt idx="72">
                  <c:v>215</c:v>
                </c:pt>
                <c:pt idx="73">
                  <c:v>106</c:v>
                </c:pt>
                <c:pt idx="74">
                  <c:v>73</c:v>
                </c:pt>
                <c:pt idx="75">
                  <c:v>32</c:v>
                </c:pt>
                <c:pt idx="76">
                  <c:v>77</c:v>
                </c:pt>
                <c:pt idx="77">
                  <c:v>53</c:v>
                </c:pt>
                <c:pt idx="78">
                  <c:v>29</c:v>
                </c:pt>
                <c:pt idx="79">
                  <c:v>84</c:v>
                </c:pt>
                <c:pt idx="80">
                  <c:v>22</c:v>
                </c:pt>
                <c:pt idx="81">
                  <c:v>82</c:v>
                </c:pt>
                <c:pt idx="82">
                  <c:v>56</c:v>
                </c:pt>
                <c:pt idx="83">
                  <c:v>85</c:v>
                </c:pt>
                <c:pt idx="84">
                  <c:v>26</c:v>
                </c:pt>
                <c:pt idx="85">
                  <c:v>40</c:v>
                </c:pt>
                <c:pt idx="86">
                  <c:v>39</c:v>
                </c:pt>
                <c:pt idx="87">
                  <c:v>90</c:v>
                </c:pt>
                <c:pt idx="88">
                  <c:v>63</c:v>
                </c:pt>
                <c:pt idx="89">
                  <c:v>81</c:v>
                </c:pt>
                <c:pt idx="90">
                  <c:v>69</c:v>
                </c:pt>
                <c:pt idx="91">
                  <c:v>83</c:v>
                </c:pt>
                <c:pt idx="9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6A-4589-A28D-DF87127FA9A0}"/>
            </c:ext>
          </c:extLst>
        </c:ser>
        <c:ser>
          <c:idx val="8"/>
          <c:order val="8"/>
          <c:tx>
            <c:strRef>
              <c:f>Dataset!$M$1</c:f>
              <c:strCache>
                <c:ptCount val="1"/>
                <c:pt idx="0">
                  <c:v>Superman_sec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Dataset!$M$2:$M$94</c:f>
              <c:numCache>
                <c:formatCode>General</c:formatCode>
                <c:ptCount val="93"/>
                <c:pt idx="0">
                  <c:v>103</c:v>
                </c:pt>
                <c:pt idx="1">
                  <c:v>115</c:v>
                </c:pt>
                <c:pt idx="2">
                  <c:v>133</c:v>
                </c:pt>
                <c:pt idx="3">
                  <c:v>95</c:v>
                </c:pt>
                <c:pt idx="4">
                  <c:v>174</c:v>
                </c:pt>
                <c:pt idx="5">
                  <c:v>137</c:v>
                </c:pt>
                <c:pt idx="6">
                  <c:v>110</c:v>
                </c:pt>
                <c:pt idx="7">
                  <c:v>130</c:v>
                </c:pt>
                <c:pt idx="8">
                  <c:v>148</c:v>
                </c:pt>
                <c:pt idx="9">
                  <c:v>155</c:v>
                </c:pt>
                <c:pt idx="10">
                  <c:v>139</c:v>
                </c:pt>
                <c:pt idx="11">
                  <c:v>158</c:v>
                </c:pt>
                <c:pt idx="12">
                  <c:v>112</c:v>
                </c:pt>
                <c:pt idx="13">
                  <c:v>159</c:v>
                </c:pt>
                <c:pt idx="14">
                  <c:v>97</c:v>
                </c:pt>
                <c:pt idx="15">
                  <c:v>174</c:v>
                </c:pt>
                <c:pt idx="16">
                  <c:v>121</c:v>
                </c:pt>
                <c:pt idx="17">
                  <c:v>140</c:v>
                </c:pt>
                <c:pt idx="18">
                  <c:v>79</c:v>
                </c:pt>
                <c:pt idx="19">
                  <c:v>82</c:v>
                </c:pt>
                <c:pt idx="20">
                  <c:v>113</c:v>
                </c:pt>
                <c:pt idx="21">
                  <c:v>101</c:v>
                </c:pt>
                <c:pt idx="22">
                  <c:v>122</c:v>
                </c:pt>
                <c:pt idx="23">
                  <c:v>124</c:v>
                </c:pt>
                <c:pt idx="24">
                  <c:v>110</c:v>
                </c:pt>
                <c:pt idx="25">
                  <c:v>78</c:v>
                </c:pt>
                <c:pt idx="26">
                  <c:v>136</c:v>
                </c:pt>
                <c:pt idx="27">
                  <c:v>110</c:v>
                </c:pt>
                <c:pt idx="28">
                  <c:v>46</c:v>
                </c:pt>
                <c:pt idx="29">
                  <c:v>75</c:v>
                </c:pt>
                <c:pt idx="30">
                  <c:v>38</c:v>
                </c:pt>
                <c:pt idx="31">
                  <c:v>43</c:v>
                </c:pt>
                <c:pt idx="32">
                  <c:v>32</c:v>
                </c:pt>
                <c:pt idx="33">
                  <c:v>30</c:v>
                </c:pt>
                <c:pt idx="34">
                  <c:v>57</c:v>
                </c:pt>
                <c:pt idx="35">
                  <c:v>36</c:v>
                </c:pt>
                <c:pt idx="36">
                  <c:v>81</c:v>
                </c:pt>
                <c:pt idx="37">
                  <c:v>45</c:v>
                </c:pt>
                <c:pt idx="38">
                  <c:v>59</c:v>
                </c:pt>
                <c:pt idx="39">
                  <c:v>34</c:v>
                </c:pt>
                <c:pt idx="40">
                  <c:v>41</c:v>
                </c:pt>
                <c:pt idx="41">
                  <c:v>37</c:v>
                </c:pt>
                <c:pt idx="42">
                  <c:v>73</c:v>
                </c:pt>
                <c:pt idx="43">
                  <c:v>76</c:v>
                </c:pt>
                <c:pt idx="44">
                  <c:v>90</c:v>
                </c:pt>
                <c:pt idx="45">
                  <c:v>48</c:v>
                </c:pt>
                <c:pt idx="46">
                  <c:v>60</c:v>
                </c:pt>
                <c:pt idx="47">
                  <c:v>73</c:v>
                </c:pt>
                <c:pt idx="48">
                  <c:v>55</c:v>
                </c:pt>
                <c:pt idx="49">
                  <c:v>72</c:v>
                </c:pt>
                <c:pt idx="50">
                  <c:v>71</c:v>
                </c:pt>
                <c:pt idx="51">
                  <c:v>74</c:v>
                </c:pt>
                <c:pt idx="52">
                  <c:v>52</c:v>
                </c:pt>
                <c:pt idx="53">
                  <c:v>46</c:v>
                </c:pt>
                <c:pt idx="54">
                  <c:v>67</c:v>
                </c:pt>
                <c:pt idx="55">
                  <c:v>51</c:v>
                </c:pt>
                <c:pt idx="56">
                  <c:v>87</c:v>
                </c:pt>
                <c:pt idx="57">
                  <c:v>69</c:v>
                </c:pt>
                <c:pt idx="58">
                  <c:v>74</c:v>
                </c:pt>
                <c:pt idx="59">
                  <c:v>79</c:v>
                </c:pt>
                <c:pt idx="60">
                  <c:v>78</c:v>
                </c:pt>
                <c:pt idx="61">
                  <c:v>85</c:v>
                </c:pt>
                <c:pt idx="62">
                  <c:v>42</c:v>
                </c:pt>
                <c:pt idx="63">
                  <c:v>67</c:v>
                </c:pt>
                <c:pt idx="64">
                  <c:v>74</c:v>
                </c:pt>
                <c:pt idx="65">
                  <c:v>88</c:v>
                </c:pt>
                <c:pt idx="66">
                  <c:v>56</c:v>
                </c:pt>
                <c:pt idx="67">
                  <c:v>96</c:v>
                </c:pt>
                <c:pt idx="68">
                  <c:v>75</c:v>
                </c:pt>
                <c:pt idx="69">
                  <c:v>72</c:v>
                </c:pt>
                <c:pt idx="70">
                  <c:v>62</c:v>
                </c:pt>
                <c:pt idx="71">
                  <c:v>73</c:v>
                </c:pt>
                <c:pt idx="72">
                  <c:v>56</c:v>
                </c:pt>
                <c:pt idx="73">
                  <c:v>75</c:v>
                </c:pt>
                <c:pt idx="74">
                  <c:v>53</c:v>
                </c:pt>
                <c:pt idx="75">
                  <c:v>28</c:v>
                </c:pt>
                <c:pt idx="76">
                  <c:v>59</c:v>
                </c:pt>
                <c:pt idx="77">
                  <c:v>55</c:v>
                </c:pt>
                <c:pt idx="78">
                  <c:v>18</c:v>
                </c:pt>
                <c:pt idx="79">
                  <c:v>49</c:v>
                </c:pt>
                <c:pt idx="80">
                  <c:v>58</c:v>
                </c:pt>
                <c:pt idx="81">
                  <c:v>20</c:v>
                </c:pt>
                <c:pt idx="82">
                  <c:v>57</c:v>
                </c:pt>
                <c:pt idx="83">
                  <c:v>15</c:v>
                </c:pt>
                <c:pt idx="84">
                  <c:v>28</c:v>
                </c:pt>
                <c:pt idx="85">
                  <c:v>34</c:v>
                </c:pt>
                <c:pt idx="86">
                  <c:v>46</c:v>
                </c:pt>
                <c:pt idx="87">
                  <c:v>24</c:v>
                </c:pt>
                <c:pt idx="88">
                  <c:v>47</c:v>
                </c:pt>
                <c:pt idx="89">
                  <c:v>37</c:v>
                </c:pt>
                <c:pt idx="90">
                  <c:v>29</c:v>
                </c:pt>
                <c:pt idx="91">
                  <c:v>17</c:v>
                </c:pt>
                <c:pt idx="92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6A-4589-A28D-DF87127FA9A0}"/>
            </c:ext>
          </c:extLst>
        </c:ser>
        <c:ser>
          <c:idx val="9"/>
          <c:order val="9"/>
          <c:tx>
            <c:strRef>
              <c:f>Dataset!$N$1</c:f>
              <c:strCache>
                <c:ptCount val="1"/>
                <c:pt idx="0">
                  <c:v>Jumps_1min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Dataset!$N$2:$N$94</c:f>
              <c:numCache>
                <c:formatCode>General</c:formatCode>
                <c:ptCount val="93"/>
                <c:pt idx="0">
                  <c:v>114</c:v>
                </c:pt>
                <c:pt idx="1">
                  <c:v>114</c:v>
                </c:pt>
                <c:pt idx="2">
                  <c:v>97</c:v>
                </c:pt>
                <c:pt idx="3">
                  <c:v>109</c:v>
                </c:pt>
                <c:pt idx="4">
                  <c:v>94</c:v>
                </c:pt>
                <c:pt idx="5">
                  <c:v>102</c:v>
                </c:pt>
                <c:pt idx="6">
                  <c:v>109</c:v>
                </c:pt>
                <c:pt idx="7">
                  <c:v>105</c:v>
                </c:pt>
                <c:pt idx="8">
                  <c:v>89</c:v>
                </c:pt>
                <c:pt idx="9">
                  <c:v>111</c:v>
                </c:pt>
                <c:pt idx="10">
                  <c:v>104</c:v>
                </c:pt>
                <c:pt idx="11">
                  <c:v>97</c:v>
                </c:pt>
                <c:pt idx="12">
                  <c:v>112</c:v>
                </c:pt>
                <c:pt idx="13">
                  <c:v>113</c:v>
                </c:pt>
                <c:pt idx="14">
                  <c:v>95</c:v>
                </c:pt>
                <c:pt idx="15">
                  <c:v>110</c:v>
                </c:pt>
                <c:pt idx="16">
                  <c:v>91</c:v>
                </c:pt>
                <c:pt idx="17">
                  <c:v>77</c:v>
                </c:pt>
                <c:pt idx="18">
                  <c:v>86</c:v>
                </c:pt>
                <c:pt idx="19">
                  <c:v>73</c:v>
                </c:pt>
                <c:pt idx="20">
                  <c:v>95</c:v>
                </c:pt>
                <c:pt idx="21">
                  <c:v>97</c:v>
                </c:pt>
                <c:pt idx="22">
                  <c:v>85</c:v>
                </c:pt>
                <c:pt idx="23">
                  <c:v>92</c:v>
                </c:pt>
                <c:pt idx="24">
                  <c:v>71</c:v>
                </c:pt>
                <c:pt idx="25">
                  <c:v>89</c:v>
                </c:pt>
                <c:pt idx="26">
                  <c:v>80</c:v>
                </c:pt>
                <c:pt idx="27">
                  <c:v>99</c:v>
                </c:pt>
                <c:pt idx="28">
                  <c:v>48</c:v>
                </c:pt>
                <c:pt idx="29">
                  <c:v>59</c:v>
                </c:pt>
                <c:pt idx="30">
                  <c:v>56</c:v>
                </c:pt>
                <c:pt idx="31">
                  <c:v>80</c:v>
                </c:pt>
                <c:pt idx="32">
                  <c:v>40</c:v>
                </c:pt>
                <c:pt idx="33">
                  <c:v>47</c:v>
                </c:pt>
                <c:pt idx="34">
                  <c:v>48</c:v>
                </c:pt>
                <c:pt idx="35">
                  <c:v>62</c:v>
                </c:pt>
                <c:pt idx="36">
                  <c:v>51</c:v>
                </c:pt>
                <c:pt idx="37">
                  <c:v>57</c:v>
                </c:pt>
                <c:pt idx="38">
                  <c:v>62</c:v>
                </c:pt>
                <c:pt idx="39">
                  <c:v>57</c:v>
                </c:pt>
                <c:pt idx="40">
                  <c:v>77</c:v>
                </c:pt>
                <c:pt idx="41">
                  <c:v>64</c:v>
                </c:pt>
                <c:pt idx="42">
                  <c:v>52</c:v>
                </c:pt>
                <c:pt idx="43">
                  <c:v>59</c:v>
                </c:pt>
                <c:pt idx="44">
                  <c:v>64</c:v>
                </c:pt>
                <c:pt idx="45">
                  <c:v>53</c:v>
                </c:pt>
                <c:pt idx="46">
                  <c:v>50</c:v>
                </c:pt>
                <c:pt idx="47">
                  <c:v>59</c:v>
                </c:pt>
                <c:pt idx="48">
                  <c:v>59</c:v>
                </c:pt>
                <c:pt idx="49">
                  <c:v>38</c:v>
                </c:pt>
                <c:pt idx="50">
                  <c:v>67</c:v>
                </c:pt>
                <c:pt idx="51">
                  <c:v>50</c:v>
                </c:pt>
                <c:pt idx="52">
                  <c:v>49</c:v>
                </c:pt>
                <c:pt idx="53">
                  <c:v>48</c:v>
                </c:pt>
                <c:pt idx="54">
                  <c:v>61</c:v>
                </c:pt>
                <c:pt idx="55">
                  <c:v>74</c:v>
                </c:pt>
                <c:pt idx="56">
                  <c:v>51</c:v>
                </c:pt>
                <c:pt idx="57">
                  <c:v>65</c:v>
                </c:pt>
                <c:pt idx="58">
                  <c:v>48</c:v>
                </c:pt>
                <c:pt idx="59">
                  <c:v>54</c:v>
                </c:pt>
                <c:pt idx="60">
                  <c:v>52</c:v>
                </c:pt>
                <c:pt idx="61">
                  <c:v>57</c:v>
                </c:pt>
                <c:pt idx="62">
                  <c:v>67</c:v>
                </c:pt>
                <c:pt idx="63">
                  <c:v>68</c:v>
                </c:pt>
                <c:pt idx="64">
                  <c:v>75</c:v>
                </c:pt>
                <c:pt idx="65">
                  <c:v>74</c:v>
                </c:pt>
                <c:pt idx="66">
                  <c:v>66</c:v>
                </c:pt>
                <c:pt idx="67">
                  <c:v>81</c:v>
                </c:pt>
                <c:pt idx="68">
                  <c:v>70</c:v>
                </c:pt>
                <c:pt idx="69">
                  <c:v>84</c:v>
                </c:pt>
                <c:pt idx="70">
                  <c:v>68</c:v>
                </c:pt>
                <c:pt idx="71">
                  <c:v>66</c:v>
                </c:pt>
                <c:pt idx="72">
                  <c:v>55</c:v>
                </c:pt>
                <c:pt idx="73">
                  <c:v>86</c:v>
                </c:pt>
                <c:pt idx="74">
                  <c:v>39</c:v>
                </c:pt>
                <c:pt idx="75">
                  <c:v>40</c:v>
                </c:pt>
                <c:pt idx="76">
                  <c:v>39</c:v>
                </c:pt>
                <c:pt idx="77">
                  <c:v>38</c:v>
                </c:pt>
                <c:pt idx="78">
                  <c:v>25</c:v>
                </c:pt>
                <c:pt idx="79">
                  <c:v>35</c:v>
                </c:pt>
                <c:pt idx="80">
                  <c:v>46</c:v>
                </c:pt>
                <c:pt idx="81">
                  <c:v>35</c:v>
                </c:pt>
                <c:pt idx="82">
                  <c:v>50</c:v>
                </c:pt>
                <c:pt idx="83">
                  <c:v>41</c:v>
                </c:pt>
                <c:pt idx="84">
                  <c:v>28</c:v>
                </c:pt>
                <c:pt idx="85">
                  <c:v>37</c:v>
                </c:pt>
                <c:pt idx="86">
                  <c:v>49</c:v>
                </c:pt>
                <c:pt idx="87">
                  <c:v>32</c:v>
                </c:pt>
                <c:pt idx="88">
                  <c:v>28</c:v>
                </c:pt>
                <c:pt idx="89">
                  <c:v>30</c:v>
                </c:pt>
                <c:pt idx="90">
                  <c:v>47</c:v>
                </c:pt>
                <c:pt idx="91">
                  <c:v>24</c:v>
                </c:pt>
                <c:pt idx="9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6A-4589-A28D-DF87127FA9A0}"/>
            </c:ext>
          </c:extLst>
        </c:ser>
        <c:ser>
          <c:idx val="10"/>
          <c:order val="10"/>
          <c:tx>
            <c:strRef>
              <c:f>Dataset!$O$1</c:f>
              <c:strCache>
                <c:ptCount val="1"/>
                <c:pt idx="0">
                  <c:v>Flexibility_10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Dataset!$O$2:$O$94</c:f>
              <c:numCache>
                <c:formatCode>General</c:formatCode>
                <c:ptCount val="93"/>
                <c:pt idx="0">
                  <c:v>8.1999999999999993</c:v>
                </c:pt>
                <c:pt idx="1">
                  <c:v>8.8000000000000007</c:v>
                </c:pt>
                <c:pt idx="2">
                  <c:v>8.3000000000000007</c:v>
                </c:pt>
                <c:pt idx="3">
                  <c:v>9.1</c:v>
                </c:pt>
                <c:pt idx="4">
                  <c:v>9.5</c:v>
                </c:pt>
                <c:pt idx="5">
                  <c:v>8.4</c:v>
                </c:pt>
                <c:pt idx="6">
                  <c:v>8.8000000000000007</c:v>
                </c:pt>
                <c:pt idx="7">
                  <c:v>8.5</c:v>
                </c:pt>
                <c:pt idx="8">
                  <c:v>8.5</c:v>
                </c:pt>
                <c:pt idx="9">
                  <c:v>8.1999999999999993</c:v>
                </c:pt>
                <c:pt idx="10">
                  <c:v>9.1999999999999993</c:v>
                </c:pt>
                <c:pt idx="11">
                  <c:v>9.5</c:v>
                </c:pt>
                <c:pt idx="12">
                  <c:v>9.8000000000000007</c:v>
                </c:pt>
                <c:pt idx="13">
                  <c:v>9.8000000000000007</c:v>
                </c:pt>
                <c:pt idx="14">
                  <c:v>9.8000000000000007</c:v>
                </c:pt>
                <c:pt idx="15">
                  <c:v>9.9</c:v>
                </c:pt>
                <c:pt idx="16">
                  <c:v>8.6</c:v>
                </c:pt>
                <c:pt idx="17">
                  <c:v>8.5</c:v>
                </c:pt>
                <c:pt idx="18">
                  <c:v>7.6</c:v>
                </c:pt>
                <c:pt idx="19">
                  <c:v>8.6</c:v>
                </c:pt>
                <c:pt idx="20">
                  <c:v>9.1999999999999993</c:v>
                </c:pt>
                <c:pt idx="21">
                  <c:v>9.3000000000000007</c:v>
                </c:pt>
                <c:pt idx="22">
                  <c:v>8.1999999999999993</c:v>
                </c:pt>
                <c:pt idx="23">
                  <c:v>9.4</c:v>
                </c:pt>
                <c:pt idx="24">
                  <c:v>7.1</c:v>
                </c:pt>
                <c:pt idx="25">
                  <c:v>7.2</c:v>
                </c:pt>
                <c:pt idx="26">
                  <c:v>9.3000000000000007</c:v>
                </c:pt>
                <c:pt idx="27">
                  <c:v>8.9</c:v>
                </c:pt>
                <c:pt idx="28">
                  <c:v>8.3000000000000007</c:v>
                </c:pt>
                <c:pt idx="29">
                  <c:v>7.1</c:v>
                </c:pt>
                <c:pt idx="30">
                  <c:v>5.4</c:v>
                </c:pt>
                <c:pt idx="31">
                  <c:v>8</c:v>
                </c:pt>
                <c:pt idx="32">
                  <c:v>6.2</c:v>
                </c:pt>
                <c:pt idx="33">
                  <c:v>5.3</c:v>
                </c:pt>
                <c:pt idx="34">
                  <c:v>5.0999999999999996</c:v>
                </c:pt>
                <c:pt idx="35">
                  <c:v>7.7</c:v>
                </c:pt>
                <c:pt idx="36">
                  <c:v>8.1</c:v>
                </c:pt>
                <c:pt idx="37">
                  <c:v>5.6</c:v>
                </c:pt>
                <c:pt idx="38">
                  <c:v>6.1</c:v>
                </c:pt>
                <c:pt idx="39">
                  <c:v>6.2</c:v>
                </c:pt>
                <c:pt idx="40">
                  <c:v>8.4</c:v>
                </c:pt>
                <c:pt idx="41">
                  <c:v>8.1</c:v>
                </c:pt>
                <c:pt idx="42">
                  <c:v>6.3</c:v>
                </c:pt>
                <c:pt idx="43">
                  <c:v>6.8</c:v>
                </c:pt>
                <c:pt idx="44">
                  <c:v>7.4</c:v>
                </c:pt>
                <c:pt idx="45">
                  <c:v>6.5</c:v>
                </c:pt>
                <c:pt idx="46">
                  <c:v>7.3</c:v>
                </c:pt>
                <c:pt idx="47">
                  <c:v>5.8</c:v>
                </c:pt>
                <c:pt idx="48">
                  <c:v>6.2</c:v>
                </c:pt>
                <c:pt idx="49">
                  <c:v>6.5</c:v>
                </c:pt>
                <c:pt idx="50">
                  <c:v>6</c:v>
                </c:pt>
                <c:pt idx="51">
                  <c:v>5.5</c:v>
                </c:pt>
                <c:pt idx="52">
                  <c:v>5.8</c:v>
                </c:pt>
                <c:pt idx="53">
                  <c:v>7.4</c:v>
                </c:pt>
                <c:pt idx="54">
                  <c:v>6.4</c:v>
                </c:pt>
                <c:pt idx="55">
                  <c:v>6.8</c:v>
                </c:pt>
                <c:pt idx="56">
                  <c:v>6.2</c:v>
                </c:pt>
                <c:pt idx="57">
                  <c:v>6.5</c:v>
                </c:pt>
                <c:pt idx="58">
                  <c:v>8.5</c:v>
                </c:pt>
                <c:pt idx="59">
                  <c:v>6.2</c:v>
                </c:pt>
                <c:pt idx="60">
                  <c:v>7.8</c:v>
                </c:pt>
                <c:pt idx="61">
                  <c:v>5.7</c:v>
                </c:pt>
                <c:pt idx="62">
                  <c:v>7.1</c:v>
                </c:pt>
                <c:pt idx="63">
                  <c:v>7.4</c:v>
                </c:pt>
                <c:pt idx="64">
                  <c:v>6.9</c:v>
                </c:pt>
                <c:pt idx="65">
                  <c:v>7.2</c:v>
                </c:pt>
                <c:pt idx="66">
                  <c:v>6.3</c:v>
                </c:pt>
                <c:pt idx="67">
                  <c:v>7.5</c:v>
                </c:pt>
                <c:pt idx="68">
                  <c:v>6.9</c:v>
                </c:pt>
                <c:pt idx="69">
                  <c:v>6.8</c:v>
                </c:pt>
                <c:pt idx="70">
                  <c:v>8.1999999999999993</c:v>
                </c:pt>
                <c:pt idx="71">
                  <c:v>6.9</c:v>
                </c:pt>
                <c:pt idx="72">
                  <c:v>7.7</c:v>
                </c:pt>
                <c:pt idx="73">
                  <c:v>6.2</c:v>
                </c:pt>
                <c:pt idx="74">
                  <c:v>5.6</c:v>
                </c:pt>
                <c:pt idx="75">
                  <c:v>2.9</c:v>
                </c:pt>
                <c:pt idx="76">
                  <c:v>4.0999999999999996</c:v>
                </c:pt>
                <c:pt idx="77">
                  <c:v>5</c:v>
                </c:pt>
                <c:pt idx="78">
                  <c:v>5.6</c:v>
                </c:pt>
                <c:pt idx="79">
                  <c:v>4</c:v>
                </c:pt>
                <c:pt idx="80">
                  <c:v>3.2</c:v>
                </c:pt>
                <c:pt idx="81">
                  <c:v>3.6</c:v>
                </c:pt>
                <c:pt idx="82">
                  <c:v>3.8</c:v>
                </c:pt>
                <c:pt idx="83">
                  <c:v>5.9</c:v>
                </c:pt>
                <c:pt idx="84">
                  <c:v>4.5</c:v>
                </c:pt>
                <c:pt idx="85">
                  <c:v>2.1</c:v>
                </c:pt>
                <c:pt idx="86">
                  <c:v>5.2</c:v>
                </c:pt>
                <c:pt idx="87">
                  <c:v>2.9</c:v>
                </c:pt>
                <c:pt idx="88">
                  <c:v>5.7</c:v>
                </c:pt>
                <c:pt idx="89">
                  <c:v>4.5</c:v>
                </c:pt>
                <c:pt idx="90">
                  <c:v>5.5</c:v>
                </c:pt>
                <c:pt idx="91">
                  <c:v>4.3</c:v>
                </c:pt>
                <c:pt idx="92">
                  <c:v>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6A-4589-A28D-DF87127FA9A0}"/>
            </c:ext>
          </c:extLst>
        </c:ser>
        <c:ser>
          <c:idx val="11"/>
          <c:order val="11"/>
          <c:tx>
            <c:strRef>
              <c:f>Dataset!$P$1</c:f>
              <c:strCache>
                <c:ptCount val="1"/>
                <c:pt idx="0">
                  <c:v>Balance_Right_sec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Dataset!$P$2:$P$94</c:f>
              <c:numCache>
                <c:formatCode>General</c:formatCode>
                <c:ptCount val="93"/>
                <c:pt idx="0">
                  <c:v>144</c:v>
                </c:pt>
                <c:pt idx="1">
                  <c:v>147</c:v>
                </c:pt>
                <c:pt idx="2">
                  <c:v>133</c:v>
                </c:pt>
                <c:pt idx="3">
                  <c:v>138</c:v>
                </c:pt>
                <c:pt idx="4">
                  <c:v>100</c:v>
                </c:pt>
                <c:pt idx="5">
                  <c:v>124</c:v>
                </c:pt>
                <c:pt idx="6">
                  <c:v>171</c:v>
                </c:pt>
                <c:pt idx="7">
                  <c:v>117</c:v>
                </c:pt>
                <c:pt idx="8">
                  <c:v>121</c:v>
                </c:pt>
                <c:pt idx="9">
                  <c:v>96</c:v>
                </c:pt>
                <c:pt idx="10">
                  <c:v>149</c:v>
                </c:pt>
                <c:pt idx="11">
                  <c:v>133</c:v>
                </c:pt>
                <c:pt idx="12">
                  <c:v>170</c:v>
                </c:pt>
                <c:pt idx="13">
                  <c:v>166</c:v>
                </c:pt>
                <c:pt idx="14">
                  <c:v>100</c:v>
                </c:pt>
                <c:pt idx="15">
                  <c:v>111</c:v>
                </c:pt>
                <c:pt idx="16">
                  <c:v>126</c:v>
                </c:pt>
                <c:pt idx="17">
                  <c:v>70</c:v>
                </c:pt>
                <c:pt idx="18">
                  <c:v>132</c:v>
                </c:pt>
                <c:pt idx="19">
                  <c:v>115</c:v>
                </c:pt>
                <c:pt idx="20">
                  <c:v>101</c:v>
                </c:pt>
                <c:pt idx="21">
                  <c:v>126</c:v>
                </c:pt>
                <c:pt idx="22">
                  <c:v>121</c:v>
                </c:pt>
                <c:pt idx="23">
                  <c:v>141</c:v>
                </c:pt>
                <c:pt idx="24">
                  <c:v>131</c:v>
                </c:pt>
                <c:pt idx="25">
                  <c:v>100</c:v>
                </c:pt>
                <c:pt idx="26">
                  <c:v>96</c:v>
                </c:pt>
                <c:pt idx="27">
                  <c:v>79</c:v>
                </c:pt>
                <c:pt idx="28">
                  <c:v>76</c:v>
                </c:pt>
                <c:pt idx="29">
                  <c:v>71</c:v>
                </c:pt>
                <c:pt idx="30">
                  <c:v>26</c:v>
                </c:pt>
                <c:pt idx="31">
                  <c:v>52</c:v>
                </c:pt>
                <c:pt idx="32">
                  <c:v>28</c:v>
                </c:pt>
                <c:pt idx="33">
                  <c:v>76</c:v>
                </c:pt>
                <c:pt idx="34">
                  <c:v>43</c:v>
                </c:pt>
                <c:pt idx="35">
                  <c:v>76</c:v>
                </c:pt>
                <c:pt idx="36">
                  <c:v>21</c:v>
                </c:pt>
                <c:pt idx="37">
                  <c:v>64</c:v>
                </c:pt>
                <c:pt idx="38">
                  <c:v>70</c:v>
                </c:pt>
                <c:pt idx="39">
                  <c:v>52</c:v>
                </c:pt>
                <c:pt idx="40">
                  <c:v>36</c:v>
                </c:pt>
                <c:pt idx="41">
                  <c:v>32</c:v>
                </c:pt>
                <c:pt idx="42">
                  <c:v>24</c:v>
                </c:pt>
                <c:pt idx="43">
                  <c:v>62</c:v>
                </c:pt>
                <c:pt idx="44">
                  <c:v>77</c:v>
                </c:pt>
                <c:pt idx="45">
                  <c:v>57</c:v>
                </c:pt>
                <c:pt idx="46">
                  <c:v>38</c:v>
                </c:pt>
                <c:pt idx="47">
                  <c:v>32</c:v>
                </c:pt>
                <c:pt idx="48">
                  <c:v>35</c:v>
                </c:pt>
                <c:pt idx="49">
                  <c:v>27</c:v>
                </c:pt>
                <c:pt idx="50">
                  <c:v>55</c:v>
                </c:pt>
                <c:pt idx="51">
                  <c:v>24</c:v>
                </c:pt>
                <c:pt idx="52">
                  <c:v>29</c:v>
                </c:pt>
                <c:pt idx="53">
                  <c:v>44</c:v>
                </c:pt>
                <c:pt idx="54">
                  <c:v>67</c:v>
                </c:pt>
                <c:pt idx="55">
                  <c:v>83</c:v>
                </c:pt>
                <c:pt idx="56">
                  <c:v>67</c:v>
                </c:pt>
                <c:pt idx="57">
                  <c:v>54</c:v>
                </c:pt>
                <c:pt idx="58">
                  <c:v>52</c:v>
                </c:pt>
                <c:pt idx="59">
                  <c:v>60</c:v>
                </c:pt>
                <c:pt idx="60">
                  <c:v>40</c:v>
                </c:pt>
                <c:pt idx="61">
                  <c:v>74</c:v>
                </c:pt>
                <c:pt idx="62">
                  <c:v>72</c:v>
                </c:pt>
                <c:pt idx="63">
                  <c:v>83</c:v>
                </c:pt>
                <c:pt idx="64">
                  <c:v>82</c:v>
                </c:pt>
                <c:pt idx="65">
                  <c:v>72</c:v>
                </c:pt>
                <c:pt idx="66">
                  <c:v>68</c:v>
                </c:pt>
                <c:pt idx="67">
                  <c:v>93</c:v>
                </c:pt>
                <c:pt idx="68">
                  <c:v>82</c:v>
                </c:pt>
                <c:pt idx="69">
                  <c:v>61</c:v>
                </c:pt>
                <c:pt idx="70">
                  <c:v>62</c:v>
                </c:pt>
                <c:pt idx="71">
                  <c:v>90</c:v>
                </c:pt>
                <c:pt idx="72">
                  <c:v>75</c:v>
                </c:pt>
                <c:pt idx="73">
                  <c:v>85</c:v>
                </c:pt>
                <c:pt idx="74">
                  <c:v>19</c:v>
                </c:pt>
                <c:pt idx="75">
                  <c:v>10</c:v>
                </c:pt>
                <c:pt idx="76">
                  <c:v>7</c:v>
                </c:pt>
                <c:pt idx="77">
                  <c:v>17</c:v>
                </c:pt>
                <c:pt idx="78">
                  <c:v>23</c:v>
                </c:pt>
                <c:pt idx="79">
                  <c:v>7</c:v>
                </c:pt>
                <c:pt idx="80">
                  <c:v>7</c:v>
                </c:pt>
                <c:pt idx="81">
                  <c:v>26</c:v>
                </c:pt>
                <c:pt idx="82">
                  <c:v>40</c:v>
                </c:pt>
                <c:pt idx="83">
                  <c:v>34</c:v>
                </c:pt>
                <c:pt idx="84">
                  <c:v>23</c:v>
                </c:pt>
                <c:pt idx="85">
                  <c:v>31</c:v>
                </c:pt>
                <c:pt idx="86">
                  <c:v>37</c:v>
                </c:pt>
                <c:pt idx="87">
                  <c:v>37</c:v>
                </c:pt>
                <c:pt idx="88">
                  <c:v>23</c:v>
                </c:pt>
                <c:pt idx="89">
                  <c:v>39</c:v>
                </c:pt>
                <c:pt idx="90">
                  <c:v>7</c:v>
                </c:pt>
                <c:pt idx="91">
                  <c:v>26</c:v>
                </c:pt>
                <c:pt idx="9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6A-4589-A28D-DF87127FA9A0}"/>
            </c:ext>
          </c:extLst>
        </c:ser>
        <c:ser>
          <c:idx val="12"/>
          <c:order val="12"/>
          <c:tx>
            <c:strRef>
              <c:f>Dataset!$Q$1</c:f>
              <c:strCache>
                <c:ptCount val="1"/>
                <c:pt idx="0">
                  <c:v>Balance_Left_sec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Dataset!$Q$2:$Q$94</c:f>
              <c:numCache>
                <c:formatCode>General</c:formatCode>
                <c:ptCount val="93"/>
                <c:pt idx="0">
                  <c:v>94</c:v>
                </c:pt>
                <c:pt idx="1">
                  <c:v>165</c:v>
                </c:pt>
                <c:pt idx="2">
                  <c:v>103</c:v>
                </c:pt>
                <c:pt idx="3">
                  <c:v>100</c:v>
                </c:pt>
                <c:pt idx="4">
                  <c:v>119</c:v>
                </c:pt>
                <c:pt idx="5">
                  <c:v>179</c:v>
                </c:pt>
                <c:pt idx="6">
                  <c:v>178</c:v>
                </c:pt>
                <c:pt idx="7">
                  <c:v>162</c:v>
                </c:pt>
                <c:pt idx="8">
                  <c:v>161</c:v>
                </c:pt>
                <c:pt idx="9">
                  <c:v>104</c:v>
                </c:pt>
                <c:pt idx="10">
                  <c:v>157</c:v>
                </c:pt>
                <c:pt idx="11">
                  <c:v>104</c:v>
                </c:pt>
                <c:pt idx="12">
                  <c:v>128</c:v>
                </c:pt>
                <c:pt idx="13">
                  <c:v>131</c:v>
                </c:pt>
                <c:pt idx="14">
                  <c:v>100</c:v>
                </c:pt>
                <c:pt idx="15">
                  <c:v>123</c:v>
                </c:pt>
                <c:pt idx="16">
                  <c:v>136</c:v>
                </c:pt>
                <c:pt idx="17">
                  <c:v>79</c:v>
                </c:pt>
                <c:pt idx="18">
                  <c:v>97</c:v>
                </c:pt>
                <c:pt idx="19">
                  <c:v>124</c:v>
                </c:pt>
                <c:pt idx="20">
                  <c:v>94</c:v>
                </c:pt>
                <c:pt idx="21">
                  <c:v>140</c:v>
                </c:pt>
                <c:pt idx="22">
                  <c:v>77</c:v>
                </c:pt>
                <c:pt idx="23">
                  <c:v>132</c:v>
                </c:pt>
                <c:pt idx="24">
                  <c:v>134</c:v>
                </c:pt>
                <c:pt idx="25">
                  <c:v>121</c:v>
                </c:pt>
                <c:pt idx="26">
                  <c:v>110</c:v>
                </c:pt>
                <c:pt idx="27">
                  <c:v>71</c:v>
                </c:pt>
                <c:pt idx="28">
                  <c:v>24</c:v>
                </c:pt>
                <c:pt idx="29">
                  <c:v>61</c:v>
                </c:pt>
                <c:pt idx="30">
                  <c:v>67</c:v>
                </c:pt>
                <c:pt idx="31">
                  <c:v>51</c:v>
                </c:pt>
                <c:pt idx="32">
                  <c:v>60</c:v>
                </c:pt>
                <c:pt idx="33">
                  <c:v>64</c:v>
                </c:pt>
                <c:pt idx="34">
                  <c:v>77</c:v>
                </c:pt>
                <c:pt idx="35">
                  <c:v>75</c:v>
                </c:pt>
                <c:pt idx="36">
                  <c:v>31</c:v>
                </c:pt>
                <c:pt idx="37">
                  <c:v>26</c:v>
                </c:pt>
                <c:pt idx="38">
                  <c:v>75</c:v>
                </c:pt>
                <c:pt idx="39">
                  <c:v>45</c:v>
                </c:pt>
                <c:pt idx="40">
                  <c:v>22</c:v>
                </c:pt>
                <c:pt idx="41">
                  <c:v>36</c:v>
                </c:pt>
                <c:pt idx="42">
                  <c:v>80</c:v>
                </c:pt>
                <c:pt idx="43">
                  <c:v>46</c:v>
                </c:pt>
                <c:pt idx="44">
                  <c:v>31</c:v>
                </c:pt>
                <c:pt idx="45">
                  <c:v>58</c:v>
                </c:pt>
                <c:pt idx="46">
                  <c:v>52</c:v>
                </c:pt>
                <c:pt idx="47">
                  <c:v>29</c:v>
                </c:pt>
                <c:pt idx="48">
                  <c:v>29</c:v>
                </c:pt>
                <c:pt idx="49">
                  <c:v>49</c:v>
                </c:pt>
                <c:pt idx="50">
                  <c:v>48</c:v>
                </c:pt>
                <c:pt idx="51">
                  <c:v>65</c:v>
                </c:pt>
                <c:pt idx="52">
                  <c:v>65</c:v>
                </c:pt>
                <c:pt idx="53">
                  <c:v>69</c:v>
                </c:pt>
                <c:pt idx="54">
                  <c:v>54</c:v>
                </c:pt>
                <c:pt idx="55">
                  <c:v>65</c:v>
                </c:pt>
                <c:pt idx="56">
                  <c:v>48</c:v>
                </c:pt>
                <c:pt idx="57">
                  <c:v>47</c:v>
                </c:pt>
                <c:pt idx="58">
                  <c:v>44</c:v>
                </c:pt>
                <c:pt idx="59">
                  <c:v>72</c:v>
                </c:pt>
                <c:pt idx="60">
                  <c:v>49</c:v>
                </c:pt>
                <c:pt idx="61">
                  <c:v>83</c:v>
                </c:pt>
                <c:pt idx="62">
                  <c:v>53</c:v>
                </c:pt>
                <c:pt idx="63">
                  <c:v>59</c:v>
                </c:pt>
                <c:pt idx="64">
                  <c:v>76</c:v>
                </c:pt>
                <c:pt idx="65">
                  <c:v>54</c:v>
                </c:pt>
                <c:pt idx="66">
                  <c:v>74</c:v>
                </c:pt>
                <c:pt idx="67">
                  <c:v>60</c:v>
                </c:pt>
                <c:pt idx="68">
                  <c:v>68</c:v>
                </c:pt>
                <c:pt idx="69">
                  <c:v>59</c:v>
                </c:pt>
                <c:pt idx="70">
                  <c:v>91</c:v>
                </c:pt>
                <c:pt idx="71">
                  <c:v>79</c:v>
                </c:pt>
                <c:pt idx="72">
                  <c:v>75</c:v>
                </c:pt>
                <c:pt idx="73">
                  <c:v>88</c:v>
                </c:pt>
                <c:pt idx="74">
                  <c:v>38</c:v>
                </c:pt>
                <c:pt idx="75">
                  <c:v>15</c:v>
                </c:pt>
                <c:pt idx="76">
                  <c:v>19</c:v>
                </c:pt>
                <c:pt idx="77">
                  <c:v>32</c:v>
                </c:pt>
                <c:pt idx="78">
                  <c:v>33</c:v>
                </c:pt>
                <c:pt idx="79">
                  <c:v>32</c:v>
                </c:pt>
                <c:pt idx="80">
                  <c:v>16</c:v>
                </c:pt>
                <c:pt idx="81">
                  <c:v>25</c:v>
                </c:pt>
                <c:pt idx="82">
                  <c:v>7</c:v>
                </c:pt>
                <c:pt idx="83">
                  <c:v>31</c:v>
                </c:pt>
                <c:pt idx="84">
                  <c:v>33</c:v>
                </c:pt>
                <c:pt idx="85">
                  <c:v>10</c:v>
                </c:pt>
                <c:pt idx="86">
                  <c:v>22</c:v>
                </c:pt>
                <c:pt idx="87">
                  <c:v>13</c:v>
                </c:pt>
                <c:pt idx="88">
                  <c:v>24</c:v>
                </c:pt>
                <c:pt idx="89">
                  <c:v>29</c:v>
                </c:pt>
                <c:pt idx="90">
                  <c:v>25</c:v>
                </c:pt>
                <c:pt idx="91">
                  <c:v>11</c:v>
                </c:pt>
                <c:pt idx="9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6A-4589-A28D-DF87127FA9A0}"/>
            </c:ext>
          </c:extLst>
        </c:ser>
        <c:ser>
          <c:idx val="13"/>
          <c:order val="13"/>
          <c:tx>
            <c:strRef>
              <c:f>Dataset!$R$1</c:f>
              <c:strCache>
                <c:ptCount val="1"/>
                <c:pt idx="0">
                  <c:v>Endurance_Index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Dataset!$R$2:$R$94</c:f>
              <c:numCache>
                <c:formatCode>General</c:formatCode>
                <c:ptCount val="93"/>
                <c:pt idx="0">
                  <c:v>6.37</c:v>
                </c:pt>
                <c:pt idx="1">
                  <c:v>7.21</c:v>
                </c:pt>
                <c:pt idx="2">
                  <c:v>8.59</c:v>
                </c:pt>
                <c:pt idx="3">
                  <c:v>7.29</c:v>
                </c:pt>
                <c:pt idx="4">
                  <c:v>7.18</c:v>
                </c:pt>
                <c:pt idx="5">
                  <c:v>7.36</c:v>
                </c:pt>
                <c:pt idx="6">
                  <c:v>7.38</c:v>
                </c:pt>
                <c:pt idx="7">
                  <c:v>6.64</c:v>
                </c:pt>
                <c:pt idx="8">
                  <c:v>8.7899999999999991</c:v>
                </c:pt>
                <c:pt idx="9">
                  <c:v>7.35</c:v>
                </c:pt>
                <c:pt idx="10">
                  <c:v>7.63</c:v>
                </c:pt>
                <c:pt idx="11">
                  <c:v>8.51</c:v>
                </c:pt>
                <c:pt idx="12">
                  <c:v>7.49</c:v>
                </c:pt>
                <c:pt idx="13">
                  <c:v>7.8</c:v>
                </c:pt>
                <c:pt idx="14">
                  <c:v>6.66</c:v>
                </c:pt>
                <c:pt idx="15">
                  <c:v>7.5</c:v>
                </c:pt>
                <c:pt idx="16">
                  <c:v>6.03</c:v>
                </c:pt>
                <c:pt idx="17">
                  <c:v>6.7</c:v>
                </c:pt>
                <c:pt idx="18">
                  <c:v>4.93</c:v>
                </c:pt>
                <c:pt idx="19">
                  <c:v>5.42</c:v>
                </c:pt>
                <c:pt idx="20">
                  <c:v>5.82</c:v>
                </c:pt>
                <c:pt idx="21">
                  <c:v>6.18</c:v>
                </c:pt>
                <c:pt idx="22">
                  <c:v>5.78</c:v>
                </c:pt>
                <c:pt idx="23">
                  <c:v>6.55</c:v>
                </c:pt>
                <c:pt idx="24">
                  <c:v>5.91</c:v>
                </c:pt>
                <c:pt idx="25">
                  <c:v>4.66</c:v>
                </c:pt>
                <c:pt idx="26">
                  <c:v>6.34</c:v>
                </c:pt>
                <c:pt idx="27">
                  <c:v>6.38</c:v>
                </c:pt>
                <c:pt idx="28">
                  <c:v>2.5499999999999998</c:v>
                </c:pt>
                <c:pt idx="29">
                  <c:v>3.79</c:v>
                </c:pt>
                <c:pt idx="30">
                  <c:v>3.59</c:v>
                </c:pt>
                <c:pt idx="31">
                  <c:v>2.81</c:v>
                </c:pt>
                <c:pt idx="32">
                  <c:v>2.64</c:v>
                </c:pt>
                <c:pt idx="33">
                  <c:v>2.5299999999999998</c:v>
                </c:pt>
                <c:pt idx="34">
                  <c:v>2.67</c:v>
                </c:pt>
                <c:pt idx="35">
                  <c:v>2.59</c:v>
                </c:pt>
                <c:pt idx="36">
                  <c:v>3.53</c:v>
                </c:pt>
                <c:pt idx="37">
                  <c:v>3.44</c:v>
                </c:pt>
                <c:pt idx="38">
                  <c:v>3.92</c:v>
                </c:pt>
                <c:pt idx="39">
                  <c:v>2.82</c:v>
                </c:pt>
                <c:pt idx="40">
                  <c:v>2.84</c:v>
                </c:pt>
                <c:pt idx="41">
                  <c:v>2.79</c:v>
                </c:pt>
                <c:pt idx="42">
                  <c:v>3.72</c:v>
                </c:pt>
                <c:pt idx="43">
                  <c:v>3.31</c:v>
                </c:pt>
                <c:pt idx="44">
                  <c:v>3.8</c:v>
                </c:pt>
                <c:pt idx="45">
                  <c:v>2.13</c:v>
                </c:pt>
                <c:pt idx="46">
                  <c:v>2.83</c:v>
                </c:pt>
                <c:pt idx="47">
                  <c:v>3.3</c:v>
                </c:pt>
                <c:pt idx="48">
                  <c:v>3.4</c:v>
                </c:pt>
                <c:pt idx="49">
                  <c:v>3.31</c:v>
                </c:pt>
                <c:pt idx="50">
                  <c:v>4.04</c:v>
                </c:pt>
                <c:pt idx="51">
                  <c:v>4.09</c:v>
                </c:pt>
                <c:pt idx="52">
                  <c:v>2.81</c:v>
                </c:pt>
                <c:pt idx="53">
                  <c:v>3.23</c:v>
                </c:pt>
                <c:pt idx="54">
                  <c:v>3.43</c:v>
                </c:pt>
                <c:pt idx="55">
                  <c:v>3.55</c:v>
                </c:pt>
                <c:pt idx="56">
                  <c:v>4.6100000000000003</c:v>
                </c:pt>
                <c:pt idx="57">
                  <c:v>3.28</c:v>
                </c:pt>
                <c:pt idx="58">
                  <c:v>3.7</c:v>
                </c:pt>
                <c:pt idx="59">
                  <c:v>3.76</c:v>
                </c:pt>
                <c:pt idx="60">
                  <c:v>3.44</c:v>
                </c:pt>
                <c:pt idx="61">
                  <c:v>3.86</c:v>
                </c:pt>
                <c:pt idx="62">
                  <c:v>3.7</c:v>
                </c:pt>
                <c:pt idx="63">
                  <c:v>3.28</c:v>
                </c:pt>
                <c:pt idx="64">
                  <c:v>3.8</c:v>
                </c:pt>
                <c:pt idx="65">
                  <c:v>3.81</c:v>
                </c:pt>
                <c:pt idx="66">
                  <c:v>3.09</c:v>
                </c:pt>
                <c:pt idx="67">
                  <c:v>4.3899999999999997</c:v>
                </c:pt>
                <c:pt idx="68">
                  <c:v>4.37</c:v>
                </c:pt>
                <c:pt idx="69">
                  <c:v>5.09</c:v>
                </c:pt>
                <c:pt idx="70">
                  <c:v>4.53</c:v>
                </c:pt>
                <c:pt idx="71">
                  <c:v>4.3499999999999996</c:v>
                </c:pt>
                <c:pt idx="72">
                  <c:v>4.3099999999999996</c:v>
                </c:pt>
                <c:pt idx="73">
                  <c:v>3.62</c:v>
                </c:pt>
                <c:pt idx="74">
                  <c:v>1.98</c:v>
                </c:pt>
                <c:pt idx="75">
                  <c:v>1.05</c:v>
                </c:pt>
                <c:pt idx="76">
                  <c:v>2.4300000000000002</c:v>
                </c:pt>
                <c:pt idx="77">
                  <c:v>1.94</c:v>
                </c:pt>
                <c:pt idx="78">
                  <c:v>0.92</c:v>
                </c:pt>
                <c:pt idx="79">
                  <c:v>2.16</c:v>
                </c:pt>
                <c:pt idx="80">
                  <c:v>1.71</c:v>
                </c:pt>
                <c:pt idx="81">
                  <c:v>1.75</c:v>
                </c:pt>
                <c:pt idx="82">
                  <c:v>2.2799999999999998</c:v>
                </c:pt>
                <c:pt idx="83">
                  <c:v>1.65</c:v>
                </c:pt>
                <c:pt idx="84">
                  <c:v>1.39</c:v>
                </c:pt>
                <c:pt idx="85">
                  <c:v>1.43</c:v>
                </c:pt>
                <c:pt idx="86">
                  <c:v>1.53</c:v>
                </c:pt>
                <c:pt idx="87">
                  <c:v>1.93</c:v>
                </c:pt>
                <c:pt idx="88">
                  <c:v>2.08</c:v>
                </c:pt>
                <c:pt idx="89">
                  <c:v>2.17</c:v>
                </c:pt>
                <c:pt idx="90">
                  <c:v>1.6</c:v>
                </c:pt>
                <c:pt idx="91">
                  <c:v>1.42</c:v>
                </c:pt>
                <c:pt idx="92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6A-4589-A28D-DF87127FA9A0}"/>
            </c:ext>
          </c:extLst>
        </c:ser>
        <c:ser>
          <c:idx val="14"/>
          <c:order val="14"/>
          <c:tx>
            <c:strRef>
              <c:f>Dataset!$S$1</c:f>
              <c:strCache>
                <c:ptCount val="1"/>
                <c:pt idx="0">
                  <c:v>Strength_Index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Dataset!$S$2:$S$94</c:f>
              <c:numCache>
                <c:formatCode>General</c:formatCode>
                <c:ptCount val="93"/>
                <c:pt idx="0">
                  <c:v>8.2799999999999994</c:v>
                </c:pt>
                <c:pt idx="1">
                  <c:v>8.26</c:v>
                </c:pt>
                <c:pt idx="2">
                  <c:v>8.99</c:v>
                </c:pt>
                <c:pt idx="3">
                  <c:v>8.66</c:v>
                </c:pt>
                <c:pt idx="4">
                  <c:v>8.4600000000000009</c:v>
                </c:pt>
                <c:pt idx="5">
                  <c:v>8.26</c:v>
                </c:pt>
                <c:pt idx="6">
                  <c:v>8.5399999999999991</c:v>
                </c:pt>
                <c:pt idx="7">
                  <c:v>8.81</c:v>
                </c:pt>
                <c:pt idx="8">
                  <c:v>8.25</c:v>
                </c:pt>
                <c:pt idx="9">
                  <c:v>8.35</c:v>
                </c:pt>
                <c:pt idx="10">
                  <c:v>9.1300000000000008</c:v>
                </c:pt>
                <c:pt idx="11">
                  <c:v>8.2799999999999994</c:v>
                </c:pt>
                <c:pt idx="12">
                  <c:v>8.2799999999999994</c:v>
                </c:pt>
                <c:pt idx="13">
                  <c:v>7.91</c:v>
                </c:pt>
                <c:pt idx="14">
                  <c:v>9.1999999999999993</c:v>
                </c:pt>
                <c:pt idx="15">
                  <c:v>9.2799999999999994</c:v>
                </c:pt>
                <c:pt idx="16">
                  <c:v>7.47</c:v>
                </c:pt>
                <c:pt idx="17">
                  <c:v>6.13</c:v>
                </c:pt>
                <c:pt idx="18">
                  <c:v>6.73</c:v>
                </c:pt>
                <c:pt idx="19">
                  <c:v>7.28</c:v>
                </c:pt>
                <c:pt idx="20">
                  <c:v>7.28</c:v>
                </c:pt>
                <c:pt idx="21">
                  <c:v>6.29</c:v>
                </c:pt>
                <c:pt idx="22">
                  <c:v>7.51</c:v>
                </c:pt>
                <c:pt idx="23">
                  <c:v>7.26</c:v>
                </c:pt>
                <c:pt idx="24">
                  <c:v>6.98</c:v>
                </c:pt>
                <c:pt idx="25">
                  <c:v>7.24</c:v>
                </c:pt>
                <c:pt idx="26">
                  <c:v>7.08</c:v>
                </c:pt>
                <c:pt idx="27">
                  <c:v>7.13</c:v>
                </c:pt>
                <c:pt idx="28">
                  <c:v>3.45</c:v>
                </c:pt>
                <c:pt idx="29">
                  <c:v>3.76</c:v>
                </c:pt>
                <c:pt idx="30">
                  <c:v>4.08</c:v>
                </c:pt>
                <c:pt idx="31">
                  <c:v>4.09</c:v>
                </c:pt>
                <c:pt idx="32">
                  <c:v>4.03</c:v>
                </c:pt>
                <c:pt idx="33">
                  <c:v>4.78</c:v>
                </c:pt>
                <c:pt idx="34">
                  <c:v>3.77</c:v>
                </c:pt>
                <c:pt idx="35">
                  <c:v>4.13</c:v>
                </c:pt>
                <c:pt idx="36">
                  <c:v>4.04</c:v>
                </c:pt>
                <c:pt idx="37">
                  <c:v>5.07</c:v>
                </c:pt>
                <c:pt idx="38">
                  <c:v>3.86</c:v>
                </c:pt>
                <c:pt idx="39">
                  <c:v>3.78</c:v>
                </c:pt>
                <c:pt idx="40">
                  <c:v>3.23</c:v>
                </c:pt>
                <c:pt idx="41">
                  <c:v>4.03</c:v>
                </c:pt>
                <c:pt idx="42">
                  <c:v>4.3</c:v>
                </c:pt>
                <c:pt idx="43">
                  <c:v>4.68</c:v>
                </c:pt>
                <c:pt idx="44">
                  <c:v>3.83</c:v>
                </c:pt>
                <c:pt idx="45">
                  <c:v>4.8099999999999996</c:v>
                </c:pt>
                <c:pt idx="46">
                  <c:v>4.62</c:v>
                </c:pt>
                <c:pt idx="47">
                  <c:v>4.08</c:v>
                </c:pt>
                <c:pt idx="48">
                  <c:v>4.01</c:v>
                </c:pt>
                <c:pt idx="49">
                  <c:v>3.93</c:v>
                </c:pt>
                <c:pt idx="50">
                  <c:v>4.58</c:v>
                </c:pt>
                <c:pt idx="51">
                  <c:v>3.92</c:v>
                </c:pt>
                <c:pt idx="52">
                  <c:v>4.0999999999999996</c:v>
                </c:pt>
                <c:pt idx="53">
                  <c:v>4.24</c:v>
                </c:pt>
                <c:pt idx="54">
                  <c:v>3.72</c:v>
                </c:pt>
                <c:pt idx="55">
                  <c:v>5.17</c:v>
                </c:pt>
                <c:pt idx="56">
                  <c:v>4.8</c:v>
                </c:pt>
                <c:pt idx="57">
                  <c:v>3.93</c:v>
                </c:pt>
                <c:pt idx="58">
                  <c:v>4.1100000000000003</c:v>
                </c:pt>
                <c:pt idx="59">
                  <c:v>3.64</c:v>
                </c:pt>
                <c:pt idx="60">
                  <c:v>4.95</c:v>
                </c:pt>
                <c:pt idx="61">
                  <c:v>5.04</c:v>
                </c:pt>
                <c:pt idx="62">
                  <c:v>4.53</c:v>
                </c:pt>
                <c:pt idx="63">
                  <c:v>4.5599999999999996</c:v>
                </c:pt>
                <c:pt idx="64">
                  <c:v>4.7300000000000004</c:v>
                </c:pt>
                <c:pt idx="65">
                  <c:v>3.83</c:v>
                </c:pt>
                <c:pt idx="66">
                  <c:v>4.33</c:v>
                </c:pt>
                <c:pt idx="67">
                  <c:v>5.17</c:v>
                </c:pt>
                <c:pt idx="68">
                  <c:v>5.0199999999999996</c:v>
                </c:pt>
                <c:pt idx="69">
                  <c:v>6.13</c:v>
                </c:pt>
                <c:pt idx="70">
                  <c:v>5.65</c:v>
                </c:pt>
                <c:pt idx="71">
                  <c:v>5.04</c:v>
                </c:pt>
                <c:pt idx="72">
                  <c:v>5.36</c:v>
                </c:pt>
                <c:pt idx="73">
                  <c:v>5.17</c:v>
                </c:pt>
                <c:pt idx="74">
                  <c:v>1.83</c:v>
                </c:pt>
                <c:pt idx="75">
                  <c:v>2.36</c:v>
                </c:pt>
                <c:pt idx="76">
                  <c:v>1.39</c:v>
                </c:pt>
                <c:pt idx="77">
                  <c:v>2.5299999999999998</c:v>
                </c:pt>
                <c:pt idx="78">
                  <c:v>2.48</c:v>
                </c:pt>
                <c:pt idx="79">
                  <c:v>3.02</c:v>
                </c:pt>
                <c:pt idx="80">
                  <c:v>1.53</c:v>
                </c:pt>
                <c:pt idx="81">
                  <c:v>2.2599999999999998</c:v>
                </c:pt>
                <c:pt idx="82">
                  <c:v>2.1800000000000002</c:v>
                </c:pt>
                <c:pt idx="83">
                  <c:v>1.99</c:v>
                </c:pt>
                <c:pt idx="84">
                  <c:v>2.91</c:v>
                </c:pt>
                <c:pt idx="85">
                  <c:v>1.92</c:v>
                </c:pt>
                <c:pt idx="86">
                  <c:v>2.82</c:v>
                </c:pt>
                <c:pt idx="87">
                  <c:v>2.67</c:v>
                </c:pt>
                <c:pt idx="88">
                  <c:v>2.3199999999999998</c:v>
                </c:pt>
                <c:pt idx="89">
                  <c:v>2.4300000000000002</c:v>
                </c:pt>
                <c:pt idx="90">
                  <c:v>2.5499999999999998</c:v>
                </c:pt>
                <c:pt idx="91">
                  <c:v>2.71</c:v>
                </c:pt>
                <c:pt idx="92">
                  <c:v>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A6A-4589-A28D-DF87127FA9A0}"/>
            </c:ext>
          </c:extLst>
        </c:ser>
        <c:ser>
          <c:idx val="15"/>
          <c:order val="15"/>
          <c:tx>
            <c:strRef>
              <c:f>Dataset!$T$1</c:f>
              <c:strCache>
                <c:ptCount val="1"/>
                <c:pt idx="0">
                  <c:v>Balance_Index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Dataset!$T$2:$T$94</c:f>
              <c:numCache>
                <c:formatCode>General</c:formatCode>
                <c:ptCount val="93"/>
                <c:pt idx="0">
                  <c:v>6.84</c:v>
                </c:pt>
                <c:pt idx="1">
                  <c:v>8.91</c:v>
                </c:pt>
                <c:pt idx="2">
                  <c:v>6.77</c:v>
                </c:pt>
                <c:pt idx="3">
                  <c:v>6.83</c:v>
                </c:pt>
                <c:pt idx="4">
                  <c:v>6.25</c:v>
                </c:pt>
                <c:pt idx="5">
                  <c:v>8.6300000000000008</c:v>
                </c:pt>
                <c:pt idx="6">
                  <c:v>9.9700000000000006</c:v>
                </c:pt>
                <c:pt idx="7">
                  <c:v>7.95</c:v>
                </c:pt>
                <c:pt idx="8">
                  <c:v>8.0399999999999991</c:v>
                </c:pt>
                <c:pt idx="9">
                  <c:v>5.71</c:v>
                </c:pt>
                <c:pt idx="10">
                  <c:v>8.74</c:v>
                </c:pt>
                <c:pt idx="11">
                  <c:v>6.79</c:v>
                </c:pt>
                <c:pt idx="12">
                  <c:v>8.5500000000000007</c:v>
                </c:pt>
                <c:pt idx="13">
                  <c:v>8.51</c:v>
                </c:pt>
                <c:pt idx="14">
                  <c:v>5.72</c:v>
                </c:pt>
                <c:pt idx="15">
                  <c:v>6.68</c:v>
                </c:pt>
                <c:pt idx="16">
                  <c:v>7.48</c:v>
                </c:pt>
                <c:pt idx="17">
                  <c:v>4.25</c:v>
                </c:pt>
                <c:pt idx="18">
                  <c:v>6.57</c:v>
                </c:pt>
                <c:pt idx="19">
                  <c:v>6.83</c:v>
                </c:pt>
                <c:pt idx="20">
                  <c:v>5.58</c:v>
                </c:pt>
                <c:pt idx="21">
                  <c:v>7.59</c:v>
                </c:pt>
                <c:pt idx="22">
                  <c:v>5.69</c:v>
                </c:pt>
                <c:pt idx="23">
                  <c:v>7.81</c:v>
                </c:pt>
                <c:pt idx="24">
                  <c:v>7.57</c:v>
                </c:pt>
                <c:pt idx="25">
                  <c:v>6.3</c:v>
                </c:pt>
                <c:pt idx="26">
                  <c:v>5.88</c:v>
                </c:pt>
                <c:pt idx="27">
                  <c:v>4.29</c:v>
                </c:pt>
                <c:pt idx="28">
                  <c:v>2.89</c:v>
                </c:pt>
                <c:pt idx="29">
                  <c:v>3.78</c:v>
                </c:pt>
                <c:pt idx="30">
                  <c:v>2.63</c:v>
                </c:pt>
                <c:pt idx="31">
                  <c:v>2.95</c:v>
                </c:pt>
                <c:pt idx="32">
                  <c:v>2.4900000000000002</c:v>
                </c:pt>
                <c:pt idx="33">
                  <c:v>4.01</c:v>
                </c:pt>
                <c:pt idx="34">
                  <c:v>3.41</c:v>
                </c:pt>
                <c:pt idx="35">
                  <c:v>4.32</c:v>
                </c:pt>
                <c:pt idx="36">
                  <c:v>1.48</c:v>
                </c:pt>
                <c:pt idx="37">
                  <c:v>2.6</c:v>
                </c:pt>
                <c:pt idx="38">
                  <c:v>4.1399999999999997</c:v>
                </c:pt>
                <c:pt idx="39">
                  <c:v>2.78</c:v>
                </c:pt>
                <c:pt idx="40">
                  <c:v>1.67</c:v>
                </c:pt>
                <c:pt idx="41">
                  <c:v>1.94</c:v>
                </c:pt>
                <c:pt idx="42">
                  <c:v>2.94</c:v>
                </c:pt>
                <c:pt idx="43">
                  <c:v>3.1</c:v>
                </c:pt>
                <c:pt idx="44">
                  <c:v>3.12</c:v>
                </c:pt>
                <c:pt idx="45">
                  <c:v>3.29</c:v>
                </c:pt>
                <c:pt idx="46">
                  <c:v>2.56</c:v>
                </c:pt>
                <c:pt idx="47">
                  <c:v>1.75</c:v>
                </c:pt>
                <c:pt idx="48">
                  <c:v>1.83</c:v>
                </c:pt>
                <c:pt idx="49">
                  <c:v>2.16</c:v>
                </c:pt>
                <c:pt idx="50">
                  <c:v>2.95</c:v>
                </c:pt>
                <c:pt idx="51">
                  <c:v>2.52</c:v>
                </c:pt>
                <c:pt idx="52">
                  <c:v>2.66</c:v>
                </c:pt>
                <c:pt idx="53">
                  <c:v>3.21</c:v>
                </c:pt>
                <c:pt idx="54">
                  <c:v>3.47</c:v>
                </c:pt>
                <c:pt idx="55">
                  <c:v>4.24</c:v>
                </c:pt>
                <c:pt idx="56">
                  <c:v>3.3</c:v>
                </c:pt>
                <c:pt idx="57">
                  <c:v>2.89</c:v>
                </c:pt>
                <c:pt idx="58">
                  <c:v>2.75</c:v>
                </c:pt>
                <c:pt idx="59">
                  <c:v>3.77</c:v>
                </c:pt>
                <c:pt idx="60">
                  <c:v>2.54</c:v>
                </c:pt>
                <c:pt idx="61">
                  <c:v>4.4800000000000004</c:v>
                </c:pt>
                <c:pt idx="62">
                  <c:v>3.59</c:v>
                </c:pt>
                <c:pt idx="63">
                  <c:v>4.07</c:v>
                </c:pt>
                <c:pt idx="64">
                  <c:v>4.5199999999999996</c:v>
                </c:pt>
                <c:pt idx="65">
                  <c:v>3.61</c:v>
                </c:pt>
                <c:pt idx="66">
                  <c:v>4.0599999999999996</c:v>
                </c:pt>
                <c:pt idx="67">
                  <c:v>4.4000000000000004</c:v>
                </c:pt>
                <c:pt idx="68">
                  <c:v>4.3</c:v>
                </c:pt>
                <c:pt idx="69">
                  <c:v>3.43</c:v>
                </c:pt>
                <c:pt idx="70">
                  <c:v>4.3499999999999996</c:v>
                </c:pt>
                <c:pt idx="71">
                  <c:v>4.84</c:v>
                </c:pt>
                <c:pt idx="72">
                  <c:v>4.29</c:v>
                </c:pt>
                <c:pt idx="73">
                  <c:v>4.9400000000000004</c:v>
                </c:pt>
                <c:pt idx="74">
                  <c:v>1.62</c:v>
                </c:pt>
                <c:pt idx="75">
                  <c:v>0.71</c:v>
                </c:pt>
                <c:pt idx="76">
                  <c:v>0.74</c:v>
                </c:pt>
                <c:pt idx="77">
                  <c:v>1.39</c:v>
                </c:pt>
                <c:pt idx="78">
                  <c:v>1.59</c:v>
                </c:pt>
                <c:pt idx="79">
                  <c:v>1.1000000000000001</c:v>
                </c:pt>
                <c:pt idx="80">
                  <c:v>0.65</c:v>
                </c:pt>
                <c:pt idx="81">
                  <c:v>1.46</c:v>
                </c:pt>
                <c:pt idx="82">
                  <c:v>1.37</c:v>
                </c:pt>
                <c:pt idx="83">
                  <c:v>1.86</c:v>
                </c:pt>
                <c:pt idx="84">
                  <c:v>1.59</c:v>
                </c:pt>
                <c:pt idx="85">
                  <c:v>1.19</c:v>
                </c:pt>
                <c:pt idx="86">
                  <c:v>1.7</c:v>
                </c:pt>
                <c:pt idx="87">
                  <c:v>1.44</c:v>
                </c:pt>
                <c:pt idx="88">
                  <c:v>1.34</c:v>
                </c:pt>
                <c:pt idx="89">
                  <c:v>1.95</c:v>
                </c:pt>
                <c:pt idx="90">
                  <c:v>0.9</c:v>
                </c:pt>
                <c:pt idx="91">
                  <c:v>1.07</c:v>
                </c:pt>
                <c:pt idx="92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A6A-4589-A28D-DF87127FA9A0}"/>
            </c:ext>
          </c:extLst>
        </c:ser>
        <c:ser>
          <c:idx val="16"/>
          <c:order val="16"/>
          <c:tx>
            <c:strRef>
              <c:f>Dataset!$U$1</c:f>
              <c:strCache>
                <c:ptCount val="1"/>
                <c:pt idx="0">
                  <c:v>Final_Score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Dataset!$U$2:$U$94</c:f>
              <c:numCache>
                <c:formatCode>General</c:formatCode>
                <c:ptCount val="93"/>
                <c:pt idx="0">
                  <c:v>74.75</c:v>
                </c:pt>
                <c:pt idx="1">
                  <c:v>81.510000000000005</c:v>
                </c:pt>
                <c:pt idx="2">
                  <c:v>83.99</c:v>
                </c:pt>
                <c:pt idx="3">
                  <c:v>80.63</c:v>
                </c:pt>
                <c:pt idx="4">
                  <c:v>79.53</c:v>
                </c:pt>
                <c:pt idx="5">
                  <c:v>80.739999999999995</c:v>
                </c:pt>
                <c:pt idx="6">
                  <c:v>84.59</c:v>
                </c:pt>
                <c:pt idx="7">
                  <c:v>79.680000000000007</c:v>
                </c:pt>
                <c:pt idx="8">
                  <c:v>84.31</c:v>
                </c:pt>
                <c:pt idx="9">
                  <c:v>76.239999999999995</c:v>
                </c:pt>
                <c:pt idx="10">
                  <c:v>86.36</c:v>
                </c:pt>
                <c:pt idx="11">
                  <c:v>83.7</c:v>
                </c:pt>
                <c:pt idx="12">
                  <c:v>83.88</c:v>
                </c:pt>
                <c:pt idx="13">
                  <c:v>83.45</c:v>
                </c:pt>
                <c:pt idx="14">
                  <c:v>80.36</c:v>
                </c:pt>
                <c:pt idx="15">
                  <c:v>84.8</c:v>
                </c:pt>
                <c:pt idx="16">
                  <c:v>72.66</c:v>
                </c:pt>
                <c:pt idx="17">
                  <c:v>64.930000000000007</c:v>
                </c:pt>
                <c:pt idx="18">
                  <c:v>63.4</c:v>
                </c:pt>
                <c:pt idx="19">
                  <c:v>69.19</c:v>
                </c:pt>
                <c:pt idx="20">
                  <c:v>69.709999999999994</c:v>
                </c:pt>
                <c:pt idx="21">
                  <c:v>70.540000000000006</c:v>
                </c:pt>
                <c:pt idx="22">
                  <c:v>68.56</c:v>
                </c:pt>
                <c:pt idx="23">
                  <c:v>75.58</c:v>
                </c:pt>
                <c:pt idx="24">
                  <c:v>67.72</c:v>
                </c:pt>
                <c:pt idx="25">
                  <c:v>63.17</c:v>
                </c:pt>
                <c:pt idx="26">
                  <c:v>71.22</c:v>
                </c:pt>
                <c:pt idx="27">
                  <c:v>68.33</c:v>
                </c:pt>
                <c:pt idx="28">
                  <c:v>40.659999999999997</c:v>
                </c:pt>
                <c:pt idx="29">
                  <c:v>44.4</c:v>
                </c:pt>
                <c:pt idx="30">
                  <c:v>39.799999999999997</c:v>
                </c:pt>
                <c:pt idx="31">
                  <c:v>43.17</c:v>
                </c:pt>
                <c:pt idx="32">
                  <c:v>38.159999999999997</c:v>
                </c:pt>
                <c:pt idx="33">
                  <c:v>40.94</c:v>
                </c:pt>
                <c:pt idx="34">
                  <c:v>36.520000000000003</c:v>
                </c:pt>
                <c:pt idx="35">
                  <c:v>44.11</c:v>
                </c:pt>
                <c:pt idx="36">
                  <c:v>43.15</c:v>
                </c:pt>
                <c:pt idx="37">
                  <c:v>43.17</c:v>
                </c:pt>
                <c:pt idx="38">
                  <c:v>43.68</c:v>
                </c:pt>
                <c:pt idx="39">
                  <c:v>38.26</c:v>
                </c:pt>
                <c:pt idx="40">
                  <c:v>39.130000000000003</c:v>
                </c:pt>
                <c:pt idx="41">
                  <c:v>41.59</c:v>
                </c:pt>
                <c:pt idx="42">
                  <c:v>43.22</c:v>
                </c:pt>
                <c:pt idx="43">
                  <c:v>44.56</c:v>
                </c:pt>
                <c:pt idx="44">
                  <c:v>44.29</c:v>
                </c:pt>
                <c:pt idx="45">
                  <c:v>41.16</c:v>
                </c:pt>
                <c:pt idx="46">
                  <c:v>43.1</c:v>
                </c:pt>
                <c:pt idx="47">
                  <c:v>38.409999999999997</c:v>
                </c:pt>
                <c:pt idx="48">
                  <c:v>39.380000000000003</c:v>
                </c:pt>
                <c:pt idx="49">
                  <c:v>39.93</c:v>
                </c:pt>
                <c:pt idx="50">
                  <c:v>44.58</c:v>
                </c:pt>
                <c:pt idx="51">
                  <c:v>40.770000000000003</c:v>
                </c:pt>
                <c:pt idx="52">
                  <c:v>38.369999999999997</c:v>
                </c:pt>
                <c:pt idx="53">
                  <c:v>44.15</c:v>
                </c:pt>
                <c:pt idx="54">
                  <c:v>41.32</c:v>
                </c:pt>
                <c:pt idx="55">
                  <c:v>48.71</c:v>
                </c:pt>
                <c:pt idx="56">
                  <c:v>47.98</c:v>
                </c:pt>
                <c:pt idx="57">
                  <c:v>40.93</c:v>
                </c:pt>
                <c:pt idx="58">
                  <c:v>46.61</c:v>
                </c:pt>
                <c:pt idx="59">
                  <c:v>42.08</c:v>
                </c:pt>
                <c:pt idx="60">
                  <c:v>47.06</c:v>
                </c:pt>
                <c:pt idx="61">
                  <c:v>47.34</c:v>
                </c:pt>
                <c:pt idx="62">
                  <c:v>46.54</c:v>
                </c:pt>
                <c:pt idx="63">
                  <c:v>46.71</c:v>
                </c:pt>
                <c:pt idx="64">
                  <c:v>48.54</c:v>
                </c:pt>
                <c:pt idx="65">
                  <c:v>44.65</c:v>
                </c:pt>
                <c:pt idx="66">
                  <c:v>43.12</c:v>
                </c:pt>
                <c:pt idx="67">
                  <c:v>52.87</c:v>
                </c:pt>
                <c:pt idx="68">
                  <c:v>50.93</c:v>
                </c:pt>
                <c:pt idx="69">
                  <c:v>55.47</c:v>
                </c:pt>
                <c:pt idx="70">
                  <c:v>56.29</c:v>
                </c:pt>
                <c:pt idx="71">
                  <c:v>51.75</c:v>
                </c:pt>
                <c:pt idx="72">
                  <c:v>53.53</c:v>
                </c:pt>
                <c:pt idx="73">
                  <c:v>48.77</c:v>
                </c:pt>
                <c:pt idx="74">
                  <c:v>25.98</c:v>
                </c:pt>
                <c:pt idx="75">
                  <c:v>18.28</c:v>
                </c:pt>
                <c:pt idx="76">
                  <c:v>21.47</c:v>
                </c:pt>
                <c:pt idx="77">
                  <c:v>26.76</c:v>
                </c:pt>
                <c:pt idx="78">
                  <c:v>25.03</c:v>
                </c:pt>
                <c:pt idx="79">
                  <c:v>26.7</c:v>
                </c:pt>
                <c:pt idx="80">
                  <c:v>17.86</c:v>
                </c:pt>
                <c:pt idx="81">
                  <c:v>22.55</c:v>
                </c:pt>
                <c:pt idx="82">
                  <c:v>24.13</c:v>
                </c:pt>
                <c:pt idx="83">
                  <c:v>26.51</c:v>
                </c:pt>
                <c:pt idx="84">
                  <c:v>25.74</c:v>
                </c:pt>
                <c:pt idx="85">
                  <c:v>17</c:v>
                </c:pt>
                <c:pt idx="86">
                  <c:v>27.41</c:v>
                </c:pt>
                <c:pt idx="87">
                  <c:v>23.1</c:v>
                </c:pt>
                <c:pt idx="88">
                  <c:v>27.77</c:v>
                </c:pt>
                <c:pt idx="89">
                  <c:v>26.94</c:v>
                </c:pt>
                <c:pt idx="90">
                  <c:v>26.08</c:v>
                </c:pt>
                <c:pt idx="91">
                  <c:v>23.95</c:v>
                </c:pt>
                <c:pt idx="92">
                  <c:v>25.07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6A-4589-A28D-DF87127FA9A0}"/>
            </c:ext>
          </c:extLst>
        </c:ser>
        <c:ser>
          <c:idx val="17"/>
          <c:order val="17"/>
          <c:tx>
            <c:strRef>
              <c:f>Dataset!$V$1</c:f>
              <c:strCache>
                <c:ptCount val="1"/>
                <c:pt idx="0">
                  <c:v>Training_Load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Dataset!$A$2:$D$94</c:f>
              <c:multiLvlStrCache>
                <c:ptCount val="93"/>
                <c:lvl>
                  <c:pt idx="0">
                    <c:v>MS_International</c:v>
                  </c:pt>
                  <c:pt idx="1">
                    <c:v>MS_International</c:v>
                  </c:pt>
                  <c:pt idx="2">
                    <c:v>MS_International</c:v>
                  </c:pt>
                  <c:pt idx="3">
                    <c:v>MS_International</c:v>
                  </c:pt>
                  <c:pt idx="4">
                    <c:v>MS_International</c:v>
                  </c:pt>
                  <c:pt idx="5">
                    <c:v>MS_International</c:v>
                  </c:pt>
                  <c:pt idx="6">
                    <c:v>MS_International</c:v>
                  </c:pt>
                  <c:pt idx="7">
                    <c:v>MS_International</c:v>
                  </c:pt>
                  <c:pt idx="8">
                    <c:v>MS_International</c:v>
                  </c:pt>
                  <c:pt idx="9">
                    <c:v>MS_International</c:v>
                  </c:pt>
                  <c:pt idx="10">
                    <c:v>MS_International</c:v>
                  </c:pt>
                  <c:pt idx="11">
                    <c:v>MS_International</c:v>
                  </c:pt>
                  <c:pt idx="12">
                    <c:v>MS_International</c:v>
                  </c:pt>
                  <c:pt idx="13">
                    <c:v>MS_International</c:v>
                  </c:pt>
                  <c:pt idx="14">
                    <c:v>MS_International</c:v>
                  </c:pt>
                  <c:pt idx="15">
                    <c:v>MS_International</c:v>
                  </c:pt>
                  <c:pt idx="16">
                    <c:v>MS_Ukraine</c:v>
                  </c:pt>
                  <c:pt idx="17">
                    <c:v>MS_Ukraine</c:v>
                  </c:pt>
                  <c:pt idx="18">
                    <c:v>MS_Ukraine</c:v>
                  </c:pt>
                  <c:pt idx="19">
                    <c:v>MS_Ukraine</c:v>
                  </c:pt>
                  <c:pt idx="20">
                    <c:v>MS_Ukraine</c:v>
                  </c:pt>
                  <c:pt idx="21">
                    <c:v>MS_Ukraine</c:v>
                  </c:pt>
                  <c:pt idx="22">
                    <c:v>MS_Ukraine</c:v>
                  </c:pt>
                  <c:pt idx="23">
                    <c:v>MS_Ukraine</c:v>
                  </c:pt>
                  <c:pt idx="24">
                    <c:v>MS_Ukraine</c:v>
                  </c:pt>
                  <c:pt idx="25">
                    <c:v>MS_Ukraine</c:v>
                  </c:pt>
                  <c:pt idx="26">
                    <c:v>MS_Ukraine</c:v>
                  </c:pt>
                  <c:pt idx="27">
                    <c:v>MS_Ukraine</c:v>
                  </c:pt>
                  <c:pt idx="28">
                    <c:v>Intermediate_3Y</c:v>
                  </c:pt>
                  <c:pt idx="29">
                    <c:v>Intermediate_3Y</c:v>
                  </c:pt>
                  <c:pt idx="30">
                    <c:v>Intermediate_3Y</c:v>
                  </c:pt>
                  <c:pt idx="31">
                    <c:v>Intermediate_3Y</c:v>
                  </c:pt>
                  <c:pt idx="32">
                    <c:v>Intermediate_3Y</c:v>
                  </c:pt>
                  <c:pt idx="33">
                    <c:v>Intermediate_3Y</c:v>
                  </c:pt>
                  <c:pt idx="34">
                    <c:v>Intermediate_3Y</c:v>
                  </c:pt>
                  <c:pt idx="35">
                    <c:v>Intermediate_3Y</c:v>
                  </c:pt>
                  <c:pt idx="36">
                    <c:v>Intermediate_3Y</c:v>
                  </c:pt>
                  <c:pt idx="37">
                    <c:v>Intermediate_3Y</c:v>
                  </c:pt>
                  <c:pt idx="38">
                    <c:v>Intermediate_3Y</c:v>
                  </c:pt>
                  <c:pt idx="39">
                    <c:v>Intermediate_3Y</c:v>
                  </c:pt>
                  <c:pt idx="40">
                    <c:v>Intermediate_3Y</c:v>
                  </c:pt>
                  <c:pt idx="41">
                    <c:v>Intermediate_3Y</c:v>
                  </c:pt>
                  <c:pt idx="42">
                    <c:v>Intermediate_3Y</c:v>
                  </c:pt>
                  <c:pt idx="43">
                    <c:v>Intermediate_3Y</c:v>
                  </c:pt>
                  <c:pt idx="44">
                    <c:v>Intermediate_3Y</c:v>
                  </c:pt>
                  <c:pt idx="45">
                    <c:v>Intermediate_3Y</c:v>
                  </c:pt>
                  <c:pt idx="46">
                    <c:v>Intermediate_3Y</c:v>
                  </c:pt>
                  <c:pt idx="47">
                    <c:v>Intermediate_3Y</c:v>
                  </c:pt>
                  <c:pt idx="48">
                    <c:v>Intermediate_2Y</c:v>
                  </c:pt>
                  <c:pt idx="49">
                    <c:v>Intermediate_2Y</c:v>
                  </c:pt>
                  <c:pt idx="50">
                    <c:v>Intermediate_2Y</c:v>
                  </c:pt>
                  <c:pt idx="51">
                    <c:v>Intermediate_2Y</c:v>
                  </c:pt>
                  <c:pt idx="52">
                    <c:v>Intermediate_2Y</c:v>
                  </c:pt>
                  <c:pt idx="53">
                    <c:v>Intermediate_2Y</c:v>
                  </c:pt>
                  <c:pt idx="54">
                    <c:v>Intermediate_2Y</c:v>
                  </c:pt>
                  <c:pt idx="55">
                    <c:v>Advanced_3Y</c:v>
                  </c:pt>
                  <c:pt idx="56">
                    <c:v>Advanced_3Y</c:v>
                  </c:pt>
                  <c:pt idx="57">
                    <c:v>Intermediate_3Y_4T</c:v>
                  </c:pt>
                  <c:pt idx="58">
                    <c:v>Intermediate_3Y_4T</c:v>
                  </c:pt>
                  <c:pt idx="59">
                    <c:v>Intermediate_3Y_4T</c:v>
                  </c:pt>
                  <c:pt idx="60">
                    <c:v>Intermediate_3Y_4T</c:v>
                  </c:pt>
                  <c:pt idx="61">
                    <c:v>Intermediate_3Y_4T</c:v>
                  </c:pt>
                  <c:pt idx="62">
                    <c:v>Intermediate_3Y_4T</c:v>
                  </c:pt>
                  <c:pt idx="63">
                    <c:v>Intermediate_3Y_4T</c:v>
                  </c:pt>
                  <c:pt idx="64">
                    <c:v>Intermediate_3Y_4T</c:v>
                  </c:pt>
                  <c:pt idx="65">
                    <c:v>Intermediate_3Y_4T</c:v>
                  </c:pt>
                  <c:pt idx="66">
                    <c:v>Intermediate_3Y_4T</c:v>
                  </c:pt>
                  <c:pt idx="67">
                    <c:v>Advanced_4Y</c:v>
                  </c:pt>
                  <c:pt idx="68">
                    <c:v>Advanced_4Y</c:v>
                  </c:pt>
                  <c:pt idx="69">
                    <c:v>Advanced_4Y</c:v>
                  </c:pt>
                  <c:pt idx="70">
                    <c:v>Advanced_4Y</c:v>
                  </c:pt>
                  <c:pt idx="71">
                    <c:v>Advanced_4Y</c:v>
                  </c:pt>
                  <c:pt idx="72">
                    <c:v>Advanced_4Y</c:v>
                  </c:pt>
                  <c:pt idx="73">
                    <c:v>Advanced_4Y</c:v>
                  </c:pt>
                  <c:pt idx="74">
                    <c:v>Beginner</c:v>
                  </c:pt>
                  <c:pt idx="75">
                    <c:v>Beginner</c:v>
                  </c:pt>
                  <c:pt idx="76">
                    <c:v>Beginner</c:v>
                  </c:pt>
                  <c:pt idx="77">
                    <c:v>Beginner</c:v>
                  </c:pt>
                  <c:pt idx="78">
                    <c:v>Beginner</c:v>
                  </c:pt>
                  <c:pt idx="79">
                    <c:v>Beginner</c:v>
                  </c:pt>
                  <c:pt idx="80">
                    <c:v>Beginner</c:v>
                  </c:pt>
                  <c:pt idx="81">
                    <c:v>Beginner</c:v>
                  </c:pt>
                  <c:pt idx="82">
                    <c:v>Beginner</c:v>
                  </c:pt>
                  <c:pt idx="83">
                    <c:v>Beginner</c:v>
                  </c:pt>
                  <c:pt idx="84">
                    <c:v>Beginner</c:v>
                  </c:pt>
                  <c:pt idx="85">
                    <c:v>Beginner</c:v>
                  </c:pt>
                  <c:pt idx="86">
                    <c:v>Beginner</c:v>
                  </c:pt>
                  <c:pt idx="87">
                    <c:v>Beginner</c:v>
                  </c:pt>
                  <c:pt idx="88">
                    <c:v>Beginner</c:v>
                  </c:pt>
                  <c:pt idx="89">
                    <c:v>Beginner</c:v>
                  </c:pt>
                  <c:pt idx="90">
                    <c:v>Beginner</c:v>
                  </c:pt>
                  <c:pt idx="91">
                    <c:v>Beginner</c:v>
                  </c:pt>
                  <c:pt idx="92">
                    <c:v>Beginner</c:v>
                  </c:pt>
                </c:lvl>
                <c:lvl>
                  <c:pt idx="0">
                    <c:v>14</c:v>
                  </c:pt>
                  <c:pt idx="1">
                    <c:v>17</c:v>
                  </c:pt>
                  <c:pt idx="2">
                    <c:v>14</c:v>
                  </c:pt>
                  <c:pt idx="3">
                    <c:v>15</c:v>
                  </c:pt>
                  <c:pt idx="4">
                    <c:v>19</c:v>
                  </c:pt>
                  <c:pt idx="5">
                    <c:v>20</c:v>
                  </c:pt>
                  <c:pt idx="6">
                    <c:v>15</c:v>
                  </c:pt>
                  <c:pt idx="7">
                    <c:v>19</c:v>
                  </c:pt>
                  <c:pt idx="8">
                    <c:v>19</c:v>
                  </c:pt>
                  <c:pt idx="9">
                    <c:v>20</c:v>
                  </c:pt>
                  <c:pt idx="10">
                    <c:v>16</c:v>
                  </c:pt>
                  <c:pt idx="11">
                    <c:v>22</c:v>
                  </c:pt>
                  <c:pt idx="12">
                    <c:v>16</c:v>
                  </c:pt>
                  <c:pt idx="13">
                    <c:v>22</c:v>
                  </c:pt>
                  <c:pt idx="14">
                    <c:v>15</c:v>
                  </c:pt>
                  <c:pt idx="15">
                    <c:v>15</c:v>
                  </c:pt>
                  <c:pt idx="16">
                    <c:v>14</c:v>
                  </c:pt>
                  <c:pt idx="17">
                    <c:v>12</c:v>
                  </c:pt>
                  <c:pt idx="18">
                    <c:v>11</c:v>
                  </c:pt>
                  <c:pt idx="19">
                    <c:v>14</c:v>
                  </c:pt>
                  <c:pt idx="20">
                    <c:v>11</c:v>
                  </c:pt>
                  <c:pt idx="21">
                    <c:v>14</c:v>
                  </c:pt>
                  <c:pt idx="22">
                    <c:v>11</c:v>
                  </c:pt>
                  <c:pt idx="23">
                    <c:v>11</c:v>
                  </c:pt>
                  <c:pt idx="24">
                    <c:v>13</c:v>
                  </c:pt>
                  <c:pt idx="25">
                    <c:v>12</c:v>
                  </c:pt>
                  <c:pt idx="26">
                    <c:v>12</c:v>
                  </c:pt>
                  <c:pt idx="27">
                    <c:v>14</c:v>
                  </c:pt>
                  <c:pt idx="28">
                    <c:v>10</c:v>
                  </c:pt>
                  <c:pt idx="29">
                    <c:v>8</c:v>
                  </c:pt>
                  <c:pt idx="30">
                    <c:v>10</c:v>
                  </c:pt>
                  <c:pt idx="31">
                    <c:v>8</c:v>
                  </c:pt>
                  <c:pt idx="32">
                    <c:v>6</c:v>
                  </c:pt>
                  <c:pt idx="33">
                    <c:v>7</c:v>
                  </c:pt>
                  <c:pt idx="34">
                    <c:v>10</c:v>
                  </c:pt>
                  <c:pt idx="35">
                    <c:v>6</c:v>
                  </c:pt>
                  <c:pt idx="36">
                    <c:v>10</c:v>
                  </c:pt>
                  <c:pt idx="37">
                    <c:v>8</c:v>
                  </c:pt>
                  <c:pt idx="38">
                    <c:v>6</c:v>
                  </c:pt>
                  <c:pt idx="39">
                    <c:v>6</c:v>
                  </c:pt>
                  <c:pt idx="40">
                    <c:v>10</c:v>
                  </c:pt>
                  <c:pt idx="41">
                    <c:v>9</c:v>
                  </c:pt>
                  <c:pt idx="42">
                    <c:v>9</c:v>
                  </c:pt>
                  <c:pt idx="43">
                    <c:v>8</c:v>
                  </c:pt>
                  <c:pt idx="44">
                    <c:v>8</c:v>
                  </c:pt>
                  <c:pt idx="45">
                    <c:v>8</c:v>
                  </c:pt>
                  <c:pt idx="46">
                    <c:v>9</c:v>
                  </c:pt>
                  <c:pt idx="47">
                    <c:v>10</c:v>
                  </c:pt>
                  <c:pt idx="48">
                    <c:v>8</c:v>
                  </c:pt>
                  <c:pt idx="49">
                    <c:v>7</c:v>
                  </c:pt>
                  <c:pt idx="50">
                    <c:v>10</c:v>
                  </c:pt>
                  <c:pt idx="51">
                    <c:v>10</c:v>
                  </c:pt>
                  <c:pt idx="52">
                    <c:v>9</c:v>
                  </c:pt>
                  <c:pt idx="53">
                    <c:v>10</c:v>
                  </c:pt>
                  <c:pt idx="54">
                    <c:v>7</c:v>
                  </c:pt>
                  <c:pt idx="55">
                    <c:v>8</c:v>
                  </c:pt>
                  <c:pt idx="56">
                    <c:v>9</c:v>
                  </c:pt>
                  <c:pt idx="57">
                    <c:v>8</c:v>
                  </c:pt>
                  <c:pt idx="58">
                    <c:v>10</c:v>
                  </c:pt>
                  <c:pt idx="59">
                    <c:v>7</c:v>
                  </c:pt>
                  <c:pt idx="60">
                    <c:v>8</c:v>
                  </c:pt>
                  <c:pt idx="61">
                    <c:v>7</c:v>
                  </c:pt>
                  <c:pt idx="62">
                    <c:v>7</c:v>
                  </c:pt>
                  <c:pt idx="63">
                    <c:v>9</c:v>
                  </c:pt>
                  <c:pt idx="64">
                    <c:v>10</c:v>
                  </c:pt>
                  <c:pt idx="65">
                    <c:v>9</c:v>
                  </c:pt>
                  <c:pt idx="66">
                    <c:v>10</c:v>
                  </c:pt>
                  <c:pt idx="67">
                    <c:v>15</c:v>
                  </c:pt>
                  <c:pt idx="68">
                    <c:v>14</c:v>
                  </c:pt>
                  <c:pt idx="69">
                    <c:v>15</c:v>
                  </c:pt>
                  <c:pt idx="70">
                    <c:v>12</c:v>
                  </c:pt>
                  <c:pt idx="71">
                    <c:v>15</c:v>
                  </c:pt>
                  <c:pt idx="72">
                    <c:v>11</c:v>
                  </c:pt>
                  <c:pt idx="73">
                    <c:v>12</c:v>
                  </c:pt>
                  <c:pt idx="74">
                    <c:v>6</c:v>
                  </c:pt>
                  <c:pt idx="75">
                    <c:v>8</c:v>
                  </c:pt>
                  <c:pt idx="76">
                    <c:v>9</c:v>
                  </c:pt>
                  <c:pt idx="77">
                    <c:v>7</c:v>
                  </c:pt>
                  <c:pt idx="78">
                    <c:v>6</c:v>
                  </c:pt>
                  <c:pt idx="79">
                    <c:v>10</c:v>
                  </c:pt>
                  <c:pt idx="80">
                    <c:v>9</c:v>
                  </c:pt>
                  <c:pt idx="81">
                    <c:v>10</c:v>
                  </c:pt>
                  <c:pt idx="82">
                    <c:v>11</c:v>
                  </c:pt>
                  <c:pt idx="83">
                    <c:v>7</c:v>
                  </c:pt>
                  <c:pt idx="84">
                    <c:v>9</c:v>
                  </c:pt>
                  <c:pt idx="85">
                    <c:v>10</c:v>
                  </c:pt>
                  <c:pt idx="86">
                    <c:v>6</c:v>
                  </c:pt>
                  <c:pt idx="87">
                    <c:v>8</c:v>
                  </c:pt>
                  <c:pt idx="88">
                    <c:v>11</c:v>
                  </c:pt>
                  <c:pt idx="89">
                    <c:v>11</c:v>
                  </c:pt>
                  <c:pt idx="90">
                    <c:v>8</c:v>
                  </c:pt>
                  <c:pt idx="91">
                    <c:v>10</c:v>
                  </c:pt>
                  <c:pt idx="92">
                    <c:v>11</c:v>
                  </c:pt>
                </c:lvl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F</c:v>
                  </c:pt>
                  <c:pt idx="6">
                    <c:v>F</c:v>
                  </c:pt>
                  <c:pt idx="7">
                    <c:v>F</c:v>
                  </c:pt>
                  <c:pt idx="8">
                    <c:v>F</c:v>
                  </c:pt>
                  <c:pt idx="9">
                    <c:v>F</c:v>
                  </c:pt>
                  <c:pt idx="10">
                    <c:v>M</c:v>
                  </c:pt>
                  <c:pt idx="11">
                    <c:v>M</c:v>
                  </c:pt>
                  <c:pt idx="12">
                    <c:v>F</c:v>
                  </c:pt>
                  <c:pt idx="13">
                    <c:v>F</c:v>
                  </c:pt>
                  <c:pt idx="14">
                    <c:v>F</c:v>
                  </c:pt>
                  <c:pt idx="15">
                    <c:v>F</c:v>
                  </c:pt>
                  <c:pt idx="16">
                    <c:v>F</c:v>
                  </c:pt>
                  <c:pt idx="17">
                    <c:v>F</c:v>
                  </c:pt>
                  <c:pt idx="18">
                    <c:v>F</c:v>
                  </c:pt>
                  <c:pt idx="19">
                    <c:v>F</c:v>
                  </c:pt>
                  <c:pt idx="20">
                    <c:v>F</c:v>
                  </c:pt>
                  <c:pt idx="21">
                    <c:v>M</c:v>
                  </c:pt>
                  <c:pt idx="22">
                    <c:v>M</c:v>
                  </c:pt>
                  <c:pt idx="23">
                    <c:v>M</c:v>
                  </c:pt>
                  <c:pt idx="24">
                    <c:v>M</c:v>
                  </c:pt>
                  <c:pt idx="25">
                    <c:v>F</c:v>
                  </c:pt>
                  <c:pt idx="26">
                    <c:v>M</c:v>
                  </c:pt>
                  <c:pt idx="27">
                    <c:v>M</c:v>
                  </c:pt>
                  <c:pt idx="28">
                    <c:v>F</c:v>
                  </c:pt>
                  <c:pt idx="29">
                    <c:v>F</c:v>
                  </c:pt>
                  <c:pt idx="30">
                    <c:v>F</c:v>
                  </c:pt>
                  <c:pt idx="31">
                    <c:v>F</c:v>
                  </c:pt>
                  <c:pt idx="32">
                    <c:v>M</c:v>
                  </c:pt>
                  <c:pt idx="33">
                    <c:v>F</c:v>
                  </c:pt>
                  <c:pt idx="34">
                    <c:v>F</c:v>
                  </c:pt>
                  <c:pt idx="35">
                    <c:v>F</c:v>
                  </c:pt>
                  <c:pt idx="36">
                    <c:v>F</c:v>
                  </c:pt>
                  <c:pt idx="37">
                    <c:v>F</c:v>
                  </c:pt>
                  <c:pt idx="38">
                    <c:v>F</c:v>
                  </c:pt>
                  <c:pt idx="39">
                    <c:v>M</c:v>
                  </c:pt>
                  <c:pt idx="40">
                    <c:v>F</c:v>
                  </c:pt>
                  <c:pt idx="41">
                    <c:v>M</c:v>
                  </c:pt>
                  <c:pt idx="42">
                    <c:v>M</c:v>
                  </c:pt>
                  <c:pt idx="43">
                    <c:v>F</c:v>
                  </c:pt>
                  <c:pt idx="44">
                    <c:v>F</c:v>
                  </c:pt>
                  <c:pt idx="45">
                    <c:v>F</c:v>
                  </c:pt>
                  <c:pt idx="46">
                    <c:v>F</c:v>
                  </c:pt>
                  <c:pt idx="47">
                    <c:v>F</c:v>
                  </c:pt>
                  <c:pt idx="48">
                    <c:v>M</c:v>
                  </c:pt>
                  <c:pt idx="49">
                    <c:v>F</c:v>
                  </c:pt>
                  <c:pt idx="50">
                    <c:v>M</c:v>
                  </c:pt>
                  <c:pt idx="51">
                    <c:v>F</c:v>
                  </c:pt>
                  <c:pt idx="52">
                    <c:v>F</c:v>
                  </c:pt>
                  <c:pt idx="53">
                    <c:v>M</c:v>
                  </c:pt>
                  <c:pt idx="54">
                    <c:v>F</c:v>
                  </c:pt>
                  <c:pt idx="55">
                    <c:v>F</c:v>
                  </c:pt>
                  <c:pt idx="56">
                    <c:v>F</c:v>
                  </c:pt>
                  <c:pt idx="57">
                    <c:v>F</c:v>
                  </c:pt>
                  <c:pt idx="58">
                    <c:v>F</c:v>
                  </c:pt>
                  <c:pt idx="59">
                    <c:v>F</c:v>
                  </c:pt>
                  <c:pt idx="60">
                    <c:v>M</c:v>
                  </c:pt>
                  <c:pt idx="61">
                    <c:v>M</c:v>
                  </c:pt>
                  <c:pt idx="62">
                    <c:v>F</c:v>
                  </c:pt>
                  <c:pt idx="63">
                    <c:v>M</c:v>
                  </c:pt>
                  <c:pt idx="64">
                    <c:v>F</c:v>
                  </c:pt>
                  <c:pt idx="65">
                    <c:v>F</c:v>
                  </c:pt>
                  <c:pt idx="66">
                    <c:v>F</c:v>
                  </c:pt>
                  <c:pt idx="67">
                    <c:v>F</c:v>
                  </c:pt>
                  <c:pt idx="68">
                    <c:v>F</c:v>
                  </c:pt>
                  <c:pt idx="69">
                    <c:v>F</c:v>
                  </c:pt>
                  <c:pt idx="70">
                    <c:v>M</c:v>
                  </c:pt>
                  <c:pt idx="71">
                    <c:v>F</c:v>
                  </c:pt>
                  <c:pt idx="72">
                    <c:v>M</c:v>
                  </c:pt>
                  <c:pt idx="73">
                    <c:v>F</c:v>
                  </c:pt>
                  <c:pt idx="74">
                    <c:v>M</c:v>
                  </c:pt>
                  <c:pt idx="75">
                    <c:v>F</c:v>
                  </c:pt>
                  <c:pt idx="76">
                    <c:v>F</c:v>
                  </c:pt>
                  <c:pt idx="77">
                    <c:v>F</c:v>
                  </c:pt>
                  <c:pt idx="78">
                    <c:v>M</c:v>
                  </c:pt>
                  <c:pt idx="79">
                    <c:v>M</c:v>
                  </c:pt>
                  <c:pt idx="80">
                    <c:v>F</c:v>
                  </c:pt>
                  <c:pt idx="81">
                    <c:v>F</c:v>
                  </c:pt>
                  <c:pt idx="82">
                    <c:v>F</c:v>
                  </c:pt>
                  <c:pt idx="83">
                    <c:v>F</c:v>
                  </c:pt>
                  <c:pt idx="84">
                    <c:v>M</c:v>
                  </c:pt>
                  <c:pt idx="85">
                    <c:v>F</c:v>
                  </c:pt>
                  <c:pt idx="86">
                    <c:v>F</c:v>
                  </c:pt>
                  <c:pt idx="87">
                    <c:v>F</c:v>
                  </c:pt>
                  <c:pt idx="88">
                    <c:v>F</c:v>
                  </c:pt>
                  <c:pt idx="89">
                    <c:v>F</c:v>
                  </c:pt>
                  <c:pt idx="90">
                    <c:v>F</c:v>
                  </c:pt>
                  <c:pt idx="91">
                    <c:v>F</c:v>
                  </c:pt>
                  <c:pt idx="92">
                    <c:v>F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  <c:pt idx="30">
                    <c:v>31</c:v>
                  </c:pt>
                  <c:pt idx="31">
                    <c:v>32</c:v>
                  </c:pt>
                  <c:pt idx="32">
                    <c:v>33</c:v>
                  </c:pt>
                  <c:pt idx="33">
                    <c:v>34</c:v>
                  </c:pt>
                  <c:pt idx="34">
                    <c:v>35</c:v>
                  </c:pt>
                  <c:pt idx="35">
                    <c:v>36</c:v>
                  </c:pt>
                  <c:pt idx="36">
                    <c:v>37</c:v>
                  </c:pt>
                  <c:pt idx="37">
                    <c:v>38</c:v>
                  </c:pt>
                  <c:pt idx="38">
                    <c:v>39</c:v>
                  </c:pt>
                  <c:pt idx="39">
                    <c:v>40</c:v>
                  </c:pt>
                  <c:pt idx="40">
                    <c:v>41</c:v>
                  </c:pt>
                  <c:pt idx="41">
                    <c:v>42</c:v>
                  </c:pt>
                  <c:pt idx="42">
                    <c:v>43</c:v>
                  </c:pt>
                  <c:pt idx="43">
                    <c:v>44</c:v>
                  </c:pt>
                  <c:pt idx="44">
                    <c:v>45</c:v>
                  </c:pt>
                  <c:pt idx="45">
                    <c:v>46</c:v>
                  </c:pt>
                  <c:pt idx="46">
                    <c:v>47</c:v>
                  </c:pt>
                  <c:pt idx="47">
                    <c:v>48</c:v>
                  </c:pt>
                  <c:pt idx="48">
                    <c:v>49</c:v>
                  </c:pt>
                  <c:pt idx="49">
                    <c:v>50</c:v>
                  </c:pt>
                  <c:pt idx="50">
                    <c:v>51</c:v>
                  </c:pt>
                  <c:pt idx="51">
                    <c:v>52</c:v>
                  </c:pt>
                  <c:pt idx="52">
                    <c:v>53</c:v>
                  </c:pt>
                  <c:pt idx="53">
                    <c:v>54</c:v>
                  </c:pt>
                  <c:pt idx="54">
                    <c:v>55</c:v>
                  </c:pt>
                  <c:pt idx="55">
                    <c:v>56</c:v>
                  </c:pt>
                  <c:pt idx="56">
                    <c:v>57</c:v>
                  </c:pt>
                  <c:pt idx="57">
                    <c:v>58</c:v>
                  </c:pt>
                  <c:pt idx="58">
                    <c:v>59</c:v>
                  </c:pt>
                  <c:pt idx="59">
                    <c:v>60</c:v>
                  </c:pt>
                  <c:pt idx="60">
                    <c:v>61</c:v>
                  </c:pt>
                  <c:pt idx="61">
                    <c:v>62</c:v>
                  </c:pt>
                  <c:pt idx="62">
                    <c:v>63</c:v>
                  </c:pt>
                  <c:pt idx="63">
                    <c:v>64</c:v>
                  </c:pt>
                  <c:pt idx="64">
                    <c:v>65</c:v>
                  </c:pt>
                  <c:pt idx="65">
                    <c:v>66</c:v>
                  </c:pt>
                  <c:pt idx="66">
                    <c:v>67</c:v>
                  </c:pt>
                  <c:pt idx="67">
                    <c:v>68</c:v>
                  </c:pt>
                  <c:pt idx="68">
                    <c:v>69</c:v>
                  </c:pt>
                  <c:pt idx="69">
                    <c:v>70</c:v>
                  </c:pt>
                  <c:pt idx="70">
                    <c:v>71</c:v>
                  </c:pt>
                  <c:pt idx="71">
                    <c:v>72</c:v>
                  </c:pt>
                  <c:pt idx="72">
                    <c:v>73</c:v>
                  </c:pt>
                  <c:pt idx="73">
                    <c:v>74</c:v>
                  </c:pt>
                  <c:pt idx="74">
                    <c:v>75</c:v>
                  </c:pt>
                  <c:pt idx="75">
                    <c:v>76</c:v>
                  </c:pt>
                  <c:pt idx="76">
                    <c:v>77</c:v>
                  </c:pt>
                  <c:pt idx="77">
                    <c:v>78</c:v>
                  </c:pt>
                  <c:pt idx="78">
                    <c:v>79</c:v>
                  </c:pt>
                  <c:pt idx="79">
                    <c:v>80</c:v>
                  </c:pt>
                  <c:pt idx="80">
                    <c:v>81</c:v>
                  </c:pt>
                  <c:pt idx="81">
                    <c:v>82</c:v>
                  </c:pt>
                  <c:pt idx="82">
                    <c:v>83</c:v>
                  </c:pt>
                  <c:pt idx="83">
                    <c:v>84</c:v>
                  </c:pt>
                  <c:pt idx="84">
                    <c:v>85</c:v>
                  </c:pt>
                  <c:pt idx="85">
                    <c:v>86</c:v>
                  </c:pt>
                  <c:pt idx="86">
                    <c:v>87</c:v>
                  </c:pt>
                  <c:pt idx="87">
                    <c:v>88</c:v>
                  </c:pt>
                  <c:pt idx="88">
                    <c:v>89</c:v>
                  </c:pt>
                  <c:pt idx="89">
                    <c:v>90</c:v>
                  </c:pt>
                  <c:pt idx="90">
                    <c:v>91</c:v>
                  </c:pt>
                  <c:pt idx="91">
                    <c:v>92</c:v>
                  </c:pt>
                  <c:pt idx="92">
                    <c:v>93</c:v>
                  </c:pt>
                </c:lvl>
              </c:multiLvlStrCache>
            </c:multiLvlStrRef>
          </c:cat>
          <c:val>
            <c:numRef>
              <c:f>Dataset!$V$2:$V$94</c:f>
              <c:numCache>
                <c:formatCode>General</c:formatCode>
                <c:ptCount val="93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9</c:v>
                </c:pt>
                <c:pt idx="32">
                  <c:v>9</c:v>
                </c:pt>
                <c:pt idx="33">
                  <c:v>9</c:v>
                </c:pt>
                <c:pt idx="34">
                  <c:v>9</c:v>
                </c:pt>
                <c:pt idx="35">
                  <c:v>9</c:v>
                </c:pt>
                <c:pt idx="36">
                  <c:v>9</c:v>
                </c:pt>
                <c:pt idx="37">
                  <c:v>9</c:v>
                </c:pt>
                <c:pt idx="38">
                  <c:v>9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9</c:v>
                </c:pt>
                <c:pt idx="43">
                  <c:v>9</c:v>
                </c:pt>
                <c:pt idx="44">
                  <c:v>9</c:v>
                </c:pt>
                <c:pt idx="45">
                  <c:v>9</c:v>
                </c:pt>
                <c:pt idx="46">
                  <c:v>9</c:v>
                </c:pt>
                <c:pt idx="47">
                  <c:v>9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12</c:v>
                </c:pt>
                <c:pt idx="56">
                  <c:v>12</c:v>
                </c:pt>
                <c:pt idx="57">
                  <c:v>8</c:v>
                </c:pt>
                <c:pt idx="58">
                  <c:v>8</c:v>
                </c:pt>
                <c:pt idx="59">
                  <c:v>8</c:v>
                </c:pt>
                <c:pt idx="60">
                  <c:v>8</c:v>
                </c:pt>
                <c:pt idx="61">
                  <c:v>8</c:v>
                </c:pt>
                <c:pt idx="62">
                  <c:v>8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4.5</c:v>
                </c:pt>
                <c:pt idx="75">
                  <c:v>4.5</c:v>
                </c:pt>
                <c:pt idx="76">
                  <c:v>4.5</c:v>
                </c:pt>
                <c:pt idx="77">
                  <c:v>4.5</c:v>
                </c:pt>
                <c:pt idx="78">
                  <c:v>4.5</c:v>
                </c:pt>
                <c:pt idx="79">
                  <c:v>4.5</c:v>
                </c:pt>
                <c:pt idx="80">
                  <c:v>4.5</c:v>
                </c:pt>
                <c:pt idx="81">
                  <c:v>4.5</c:v>
                </c:pt>
                <c:pt idx="82">
                  <c:v>4.5</c:v>
                </c:pt>
                <c:pt idx="83">
                  <c:v>4.5</c:v>
                </c:pt>
                <c:pt idx="84">
                  <c:v>4.5</c:v>
                </c:pt>
                <c:pt idx="85">
                  <c:v>4.5</c:v>
                </c:pt>
                <c:pt idx="86">
                  <c:v>4.5</c:v>
                </c:pt>
                <c:pt idx="87">
                  <c:v>4.5</c:v>
                </c:pt>
                <c:pt idx="88">
                  <c:v>4.5</c:v>
                </c:pt>
                <c:pt idx="89">
                  <c:v>4.5</c:v>
                </c:pt>
                <c:pt idx="90">
                  <c:v>4.5</c:v>
                </c:pt>
                <c:pt idx="91">
                  <c:v>4.5</c:v>
                </c:pt>
                <c:pt idx="9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A6A-4589-A28D-DF87127FA9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7963544"/>
        <c:axId val="437962888"/>
      </c:barChart>
      <c:catAx>
        <c:axId val="43796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37962888"/>
        <c:crosses val="autoZero"/>
        <c:auto val="1"/>
        <c:lblAlgn val="ctr"/>
        <c:lblOffset val="100"/>
        <c:noMultiLvlLbl val="0"/>
      </c:catAx>
      <c:valAx>
        <c:axId val="43796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3796354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Розподіл інтегрального показника фізичної підготовки спортсменів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9.885042371536136E-2"/>
          <c:y val="0.21096667977196776"/>
          <c:w val="0.8497730076729646"/>
          <c:h val="0.657280593074718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Dataset!$A$1</c:f>
              <c:strCache>
                <c:ptCount val="1"/>
                <c:pt idx="0">
                  <c:v>Athlete_ID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Dataset!$A$2:$A$94</c:f>
              <c:numCache>
                <c:formatCode>General</c:formatCode>
                <c:ptCount val="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99-4BD6-9CD4-A94EAEAA948B}"/>
            </c:ext>
          </c:extLst>
        </c:ser>
        <c:ser>
          <c:idx val="1"/>
          <c:order val="1"/>
          <c:tx>
            <c:strRef>
              <c:f>Dataset!$U$1</c:f>
              <c:strCache>
                <c:ptCount val="1"/>
                <c:pt idx="0">
                  <c:v>Final_Score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C00000"/>
              </a:solidFill>
              <a:ln w="28575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E-1C99-4BD6-9CD4-A94EAEAA948B}"/>
              </c:ext>
            </c:extLst>
          </c:dPt>
          <c:dPt>
            <c:idx val="85"/>
            <c:invertIfNegative val="0"/>
            <c:bubble3D val="0"/>
            <c:spPr>
              <a:solidFill>
                <a:schemeClr val="accent2"/>
              </a:solidFill>
              <a:ln w="28575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C99-4BD6-9CD4-A94EAEAA948B}"/>
              </c:ext>
            </c:extLst>
          </c:dPt>
          <c:dLbls>
            <c:dLbl>
              <c:idx val="1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E-1C99-4BD6-9CD4-A94EAEAA948B}"/>
                </c:ext>
              </c:extLst>
            </c:dLbl>
            <c:dLbl>
              <c:idx val="8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5F-1C99-4BD6-9CD4-A94EAEAA9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Dataset!$U$2:$U$94</c:f>
              <c:numCache>
                <c:formatCode>General</c:formatCode>
                <c:ptCount val="93"/>
                <c:pt idx="0">
                  <c:v>74.75</c:v>
                </c:pt>
                <c:pt idx="1">
                  <c:v>81.510000000000005</c:v>
                </c:pt>
                <c:pt idx="2">
                  <c:v>83.99</c:v>
                </c:pt>
                <c:pt idx="3">
                  <c:v>80.63</c:v>
                </c:pt>
                <c:pt idx="4">
                  <c:v>79.53</c:v>
                </c:pt>
                <c:pt idx="5">
                  <c:v>80.739999999999995</c:v>
                </c:pt>
                <c:pt idx="6">
                  <c:v>84.59</c:v>
                </c:pt>
                <c:pt idx="7">
                  <c:v>79.680000000000007</c:v>
                </c:pt>
                <c:pt idx="8">
                  <c:v>84.31</c:v>
                </c:pt>
                <c:pt idx="9">
                  <c:v>76.239999999999995</c:v>
                </c:pt>
                <c:pt idx="10">
                  <c:v>86.36</c:v>
                </c:pt>
                <c:pt idx="11">
                  <c:v>83.7</c:v>
                </c:pt>
                <c:pt idx="12">
                  <c:v>83.88</c:v>
                </c:pt>
                <c:pt idx="13">
                  <c:v>83.45</c:v>
                </c:pt>
                <c:pt idx="14">
                  <c:v>80.36</c:v>
                </c:pt>
                <c:pt idx="15">
                  <c:v>84.8</c:v>
                </c:pt>
                <c:pt idx="16">
                  <c:v>72.66</c:v>
                </c:pt>
                <c:pt idx="17">
                  <c:v>64.930000000000007</c:v>
                </c:pt>
                <c:pt idx="18">
                  <c:v>63.4</c:v>
                </c:pt>
                <c:pt idx="19">
                  <c:v>69.19</c:v>
                </c:pt>
                <c:pt idx="20">
                  <c:v>69.709999999999994</c:v>
                </c:pt>
                <c:pt idx="21">
                  <c:v>70.540000000000006</c:v>
                </c:pt>
                <c:pt idx="22">
                  <c:v>68.56</c:v>
                </c:pt>
                <c:pt idx="23">
                  <c:v>75.58</c:v>
                </c:pt>
                <c:pt idx="24">
                  <c:v>67.72</c:v>
                </c:pt>
                <c:pt idx="25">
                  <c:v>63.17</c:v>
                </c:pt>
                <c:pt idx="26">
                  <c:v>71.22</c:v>
                </c:pt>
                <c:pt idx="27">
                  <c:v>68.33</c:v>
                </c:pt>
                <c:pt idx="28">
                  <c:v>40.659999999999997</c:v>
                </c:pt>
                <c:pt idx="29">
                  <c:v>44.4</c:v>
                </c:pt>
                <c:pt idx="30">
                  <c:v>39.799999999999997</c:v>
                </c:pt>
                <c:pt idx="31">
                  <c:v>43.17</c:v>
                </c:pt>
                <c:pt idx="32">
                  <c:v>38.159999999999997</c:v>
                </c:pt>
                <c:pt idx="33">
                  <c:v>40.94</c:v>
                </c:pt>
                <c:pt idx="34">
                  <c:v>36.520000000000003</c:v>
                </c:pt>
                <c:pt idx="35">
                  <c:v>44.11</c:v>
                </c:pt>
                <c:pt idx="36">
                  <c:v>43.15</c:v>
                </c:pt>
                <c:pt idx="37">
                  <c:v>43.17</c:v>
                </c:pt>
                <c:pt idx="38">
                  <c:v>43.68</c:v>
                </c:pt>
                <c:pt idx="39">
                  <c:v>38.26</c:v>
                </c:pt>
                <c:pt idx="40">
                  <c:v>39.130000000000003</c:v>
                </c:pt>
                <c:pt idx="41">
                  <c:v>41.59</c:v>
                </c:pt>
                <c:pt idx="42">
                  <c:v>43.22</c:v>
                </c:pt>
                <c:pt idx="43">
                  <c:v>44.56</c:v>
                </c:pt>
                <c:pt idx="44">
                  <c:v>44.29</c:v>
                </c:pt>
                <c:pt idx="45">
                  <c:v>41.16</c:v>
                </c:pt>
                <c:pt idx="46">
                  <c:v>43.1</c:v>
                </c:pt>
                <c:pt idx="47">
                  <c:v>38.409999999999997</c:v>
                </c:pt>
                <c:pt idx="48">
                  <c:v>39.380000000000003</c:v>
                </c:pt>
                <c:pt idx="49">
                  <c:v>39.93</c:v>
                </c:pt>
                <c:pt idx="50">
                  <c:v>44.58</c:v>
                </c:pt>
                <c:pt idx="51">
                  <c:v>40.770000000000003</c:v>
                </c:pt>
                <c:pt idx="52">
                  <c:v>38.369999999999997</c:v>
                </c:pt>
                <c:pt idx="53">
                  <c:v>44.15</c:v>
                </c:pt>
                <c:pt idx="54">
                  <c:v>41.32</c:v>
                </c:pt>
                <c:pt idx="55">
                  <c:v>48.71</c:v>
                </c:pt>
                <c:pt idx="56">
                  <c:v>47.98</c:v>
                </c:pt>
                <c:pt idx="57">
                  <c:v>40.93</c:v>
                </c:pt>
                <c:pt idx="58">
                  <c:v>46.61</c:v>
                </c:pt>
                <c:pt idx="59">
                  <c:v>42.08</c:v>
                </c:pt>
                <c:pt idx="60">
                  <c:v>47.06</c:v>
                </c:pt>
                <c:pt idx="61">
                  <c:v>47.34</c:v>
                </c:pt>
                <c:pt idx="62">
                  <c:v>46.54</c:v>
                </c:pt>
                <c:pt idx="63">
                  <c:v>46.71</c:v>
                </c:pt>
                <c:pt idx="64">
                  <c:v>48.54</c:v>
                </c:pt>
                <c:pt idx="65">
                  <c:v>44.65</c:v>
                </c:pt>
                <c:pt idx="66">
                  <c:v>43.12</c:v>
                </c:pt>
                <c:pt idx="67">
                  <c:v>52.87</c:v>
                </c:pt>
                <c:pt idx="68">
                  <c:v>50.93</c:v>
                </c:pt>
                <c:pt idx="69">
                  <c:v>55.47</c:v>
                </c:pt>
                <c:pt idx="70">
                  <c:v>56.29</c:v>
                </c:pt>
                <c:pt idx="71">
                  <c:v>51.75</c:v>
                </c:pt>
                <c:pt idx="72">
                  <c:v>53.53</c:v>
                </c:pt>
                <c:pt idx="73">
                  <c:v>48.77</c:v>
                </c:pt>
                <c:pt idx="74">
                  <c:v>25.98</c:v>
                </c:pt>
                <c:pt idx="75">
                  <c:v>18.28</c:v>
                </c:pt>
                <c:pt idx="76">
                  <c:v>21.47</c:v>
                </c:pt>
                <c:pt idx="77">
                  <c:v>26.76</c:v>
                </c:pt>
                <c:pt idx="78">
                  <c:v>25.03</c:v>
                </c:pt>
                <c:pt idx="79">
                  <c:v>26.7</c:v>
                </c:pt>
                <c:pt idx="80">
                  <c:v>17.86</c:v>
                </c:pt>
                <c:pt idx="81">
                  <c:v>22.55</c:v>
                </c:pt>
                <c:pt idx="82">
                  <c:v>24.13</c:v>
                </c:pt>
                <c:pt idx="83">
                  <c:v>26.51</c:v>
                </c:pt>
                <c:pt idx="84">
                  <c:v>25.74</c:v>
                </c:pt>
                <c:pt idx="85">
                  <c:v>17</c:v>
                </c:pt>
                <c:pt idx="86">
                  <c:v>27.41</c:v>
                </c:pt>
                <c:pt idx="87">
                  <c:v>23.1</c:v>
                </c:pt>
                <c:pt idx="88">
                  <c:v>27.77</c:v>
                </c:pt>
                <c:pt idx="89">
                  <c:v>26.94</c:v>
                </c:pt>
                <c:pt idx="90">
                  <c:v>26.08</c:v>
                </c:pt>
                <c:pt idx="91">
                  <c:v>23.95</c:v>
                </c:pt>
                <c:pt idx="92">
                  <c:v>25.07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99-4BD6-9CD4-A94EAEAA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99233664"/>
        <c:axId val="999229728"/>
      </c:barChart>
      <c:catAx>
        <c:axId val="9992336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9229728"/>
        <c:crosses val="autoZero"/>
        <c:auto val="1"/>
        <c:lblAlgn val="ctr"/>
        <c:lblOffset val="100"/>
        <c:noMultiLvlLbl val="0"/>
      </c:catAx>
      <c:valAx>
        <c:axId val="99922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9233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 Розподіл показника витривалості серед спортсменів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7.4843781629116798E-2"/>
          <c:y val="0.20142742900602847"/>
          <c:w val="0.88267671593512165"/>
          <c:h val="0.617040540202449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Dataset!$A$1</c:f>
              <c:strCache>
                <c:ptCount val="1"/>
                <c:pt idx="0">
                  <c:v>Athlete_ID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Dataset!$A$2:$A$94</c:f>
              <c:numCache>
                <c:formatCode>General</c:formatCode>
                <c:ptCount val="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A-4BF0-8738-5584C07D1542}"/>
            </c:ext>
          </c:extLst>
        </c:ser>
        <c:ser>
          <c:idx val="1"/>
          <c:order val="1"/>
          <c:tx>
            <c:strRef>
              <c:f>Dataset!$R$1</c:f>
              <c:strCache>
                <c:ptCount val="1"/>
                <c:pt idx="0">
                  <c:v>Endurance_Index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B9A-4BF0-8738-5584C07D1542}"/>
              </c:ext>
            </c:extLst>
          </c:dPt>
          <c:dPt>
            <c:idx val="78"/>
            <c:invertIfNegative val="0"/>
            <c:bubble3D val="0"/>
            <c:spPr>
              <a:solidFill>
                <a:schemeClr val="accent2"/>
              </a:solidFill>
              <a:ln w="28575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B9A-4BF0-8738-5584C07D1542}"/>
              </c:ext>
            </c:extLst>
          </c:dPt>
          <c:dLbls>
            <c:dLbl>
              <c:idx val="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B9A-4BF0-8738-5584C07D1542}"/>
                </c:ext>
              </c:extLst>
            </c:dLbl>
            <c:dLbl>
              <c:idx val="78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B9A-4BF0-8738-5584C07D15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Dataset!$R$2:$R$95</c:f>
              <c:numCache>
                <c:formatCode>General</c:formatCode>
                <c:ptCount val="94"/>
                <c:pt idx="0">
                  <c:v>6.37</c:v>
                </c:pt>
                <c:pt idx="1">
                  <c:v>7.21</c:v>
                </c:pt>
                <c:pt idx="2">
                  <c:v>8.59</c:v>
                </c:pt>
                <c:pt idx="3">
                  <c:v>7.29</c:v>
                </c:pt>
                <c:pt idx="4">
                  <c:v>7.18</c:v>
                </c:pt>
                <c:pt idx="5">
                  <c:v>7.36</c:v>
                </c:pt>
                <c:pt idx="6">
                  <c:v>7.38</c:v>
                </c:pt>
                <c:pt idx="7">
                  <c:v>6.64</c:v>
                </c:pt>
                <c:pt idx="8">
                  <c:v>8.7899999999999991</c:v>
                </c:pt>
                <c:pt idx="9">
                  <c:v>7.35</c:v>
                </c:pt>
                <c:pt idx="10">
                  <c:v>7.63</c:v>
                </c:pt>
                <c:pt idx="11">
                  <c:v>8.51</c:v>
                </c:pt>
                <c:pt idx="12">
                  <c:v>7.49</c:v>
                </c:pt>
                <c:pt idx="13">
                  <c:v>7.8</c:v>
                </c:pt>
                <c:pt idx="14">
                  <c:v>6.66</c:v>
                </c:pt>
                <c:pt idx="15">
                  <c:v>7.5</c:v>
                </c:pt>
                <c:pt idx="16">
                  <c:v>6.03</c:v>
                </c:pt>
                <c:pt idx="17">
                  <c:v>6.7</c:v>
                </c:pt>
                <c:pt idx="18">
                  <c:v>4.93</c:v>
                </c:pt>
                <c:pt idx="19">
                  <c:v>5.42</c:v>
                </c:pt>
                <c:pt idx="20">
                  <c:v>5.82</c:v>
                </c:pt>
                <c:pt idx="21">
                  <c:v>6.18</c:v>
                </c:pt>
                <c:pt idx="22">
                  <c:v>5.78</c:v>
                </c:pt>
                <c:pt idx="23">
                  <c:v>6.55</c:v>
                </c:pt>
                <c:pt idx="24">
                  <c:v>5.91</c:v>
                </c:pt>
                <c:pt idx="25">
                  <c:v>4.66</c:v>
                </c:pt>
                <c:pt idx="26">
                  <c:v>6.34</c:v>
                </c:pt>
                <c:pt idx="27">
                  <c:v>6.38</c:v>
                </c:pt>
                <c:pt idx="28">
                  <c:v>2.5499999999999998</c:v>
                </c:pt>
                <c:pt idx="29">
                  <c:v>3.79</c:v>
                </c:pt>
                <c:pt idx="30">
                  <c:v>3.59</c:v>
                </c:pt>
                <c:pt idx="31">
                  <c:v>2.81</c:v>
                </c:pt>
                <c:pt idx="32">
                  <c:v>2.64</c:v>
                </c:pt>
                <c:pt idx="33">
                  <c:v>2.5299999999999998</c:v>
                </c:pt>
                <c:pt idx="34">
                  <c:v>2.67</c:v>
                </c:pt>
                <c:pt idx="35">
                  <c:v>2.59</c:v>
                </c:pt>
                <c:pt idx="36">
                  <c:v>3.53</c:v>
                </c:pt>
                <c:pt idx="37">
                  <c:v>3.44</c:v>
                </c:pt>
                <c:pt idx="38">
                  <c:v>3.92</c:v>
                </c:pt>
                <c:pt idx="39">
                  <c:v>2.82</c:v>
                </c:pt>
                <c:pt idx="40">
                  <c:v>2.84</c:v>
                </c:pt>
                <c:pt idx="41">
                  <c:v>2.79</c:v>
                </c:pt>
                <c:pt idx="42">
                  <c:v>3.72</c:v>
                </c:pt>
                <c:pt idx="43">
                  <c:v>3.31</c:v>
                </c:pt>
                <c:pt idx="44">
                  <c:v>3.8</c:v>
                </c:pt>
                <c:pt idx="45">
                  <c:v>2.13</c:v>
                </c:pt>
                <c:pt idx="46">
                  <c:v>2.83</c:v>
                </c:pt>
                <c:pt idx="47">
                  <c:v>3.3</c:v>
                </c:pt>
                <c:pt idx="48">
                  <c:v>3.4</c:v>
                </c:pt>
                <c:pt idx="49">
                  <c:v>3.31</c:v>
                </c:pt>
                <c:pt idx="50">
                  <c:v>4.04</c:v>
                </c:pt>
                <c:pt idx="51">
                  <c:v>4.09</c:v>
                </c:pt>
                <c:pt idx="52">
                  <c:v>2.81</c:v>
                </c:pt>
                <c:pt idx="53">
                  <c:v>3.23</c:v>
                </c:pt>
                <c:pt idx="54">
                  <c:v>3.43</c:v>
                </c:pt>
                <c:pt idx="55">
                  <c:v>3.55</c:v>
                </c:pt>
                <c:pt idx="56">
                  <c:v>4.6100000000000003</c:v>
                </c:pt>
                <c:pt idx="57">
                  <c:v>3.28</c:v>
                </c:pt>
                <c:pt idx="58">
                  <c:v>3.7</c:v>
                </c:pt>
                <c:pt idx="59">
                  <c:v>3.76</c:v>
                </c:pt>
                <c:pt idx="60">
                  <c:v>3.44</c:v>
                </c:pt>
                <c:pt idx="61">
                  <c:v>3.86</c:v>
                </c:pt>
                <c:pt idx="62">
                  <c:v>3.7</c:v>
                </c:pt>
                <c:pt idx="63">
                  <c:v>3.28</c:v>
                </c:pt>
                <c:pt idx="64">
                  <c:v>3.8</c:v>
                </c:pt>
                <c:pt idx="65">
                  <c:v>3.81</c:v>
                </c:pt>
                <c:pt idx="66">
                  <c:v>3.09</c:v>
                </c:pt>
                <c:pt idx="67">
                  <c:v>4.3899999999999997</c:v>
                </c:pt>
                <c:pt idx="68">
                  <c:v>4.37</c:v>
                </c:pt>
                <c:pt idx="69">
                  <c:v>5.09</c:v>
                </c:pt>
                <c:pt idx="70">
                  <c:v>4.53</c:v>
                </c:pt>
                <c:pt idx="71">
                  <c:v>4.3499999999999996</c:v>
                </c:pt>
                <c:pt idx="72">
                  <c:v>4.3099999999999996</c:v>
                </c:pt>
                <c:pt idx="73">
                  <c:v>3.62</c:v>
                </c:pt>
                <c:pt idx="74">
                  <c:v>1.98</c:v>
                </c:pt>
                <c:pt idx="75">
                  <c:v>1.05</c:v>
                </c:pt>
                <c:pt idx="76">
                  <c:v>2.4300000000000002</c:v>
                </c:pt>
                <c:pt idx="77">
                  <c:v>1.94</c:v>
                </c:pt>
                <c:pt idx="78">
                  <c:v>0.92</c:v>
                </c:pt>
                <c:pt idx="79">
                  <c:v>2.16</c:v>
                </c:pt>
                <c:pt idx="80">
                  <c:v>1.71</c:v>
                </c:pt>
                <c:pt idx="81">
                  <c:v>1.75</c:v>
                </c:pt>
                <c:pt idx="82">
                  <c:v>2.2799999999999998</c:v>
                </c:pt>
                <c:pt idx="83">
                  <c:v>1.65</c:v>
                </c:pt>
                <c:pt idx="84">
                  <c:v>1.39</c:v>
                </c:pt>
                <c:pt idx="85">
                  <c:v>1.43</c:v>
                </c:pt>
                <c:pt idx="86">
                  <c:v>1.53</c:v>
                </c:pt>
                <c:pt idx="87">
                  <c:v>1.93</c:v>
                </c:pt>
                <c:pt idx="88">
                  <c:v>2.08</c:v>
                </c:pt>
                <c:pt idx="89">
                  <c:v>2.17</c:v>
                </c:pt>
                <c:pt idx="90">
                  <c:v>1.6</c:v>
                </c:pt>
                <c:pt idx="91">
                  <c:v>1.42</c:v>
                </c:pt>
                <c:pt idx="92">
                  <c:v>1.28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A-4BF0-8738-5584C07D1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19530440"/>
        <c:axId val="1319533064"/>
      </c:barChart>
      <c:catAx>
        <c:axId val="13195304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19533064"/>
        <c:crosses val="autoZero"/>
        <c:auto val="1"/>
        <c:lblAlgn val="ctr"/>
        <c:lblOffset val="100"/>
        <c:noMultiLvlLbl val="0"/>
      </c:catAx>
      <c:valAx>
        <c:axId val="1319533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19530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uk-UA"/>
              <a:t>Порівняння силових показників спортсменів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>
        <c:manualLayout>
          <c:layoutTarget val="inner"/>
          <c:xMode val="edge"/>
          <c:yMode val="edge"/>
          <c:x val="6.1022613836766527E-2"/>
          <c:y val="0.17717615176906548"/>
          <c:w val="0.91095653351401629"/>
          <c:h val="0.6598550880041665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Dataset!$A$1</c:f>
              <c:strCache>
                <c:ptCount val="1"/>
                <c:pt idx="0">
                  <c:v>Athlete_ID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Dataset!$A$2:$A$94</c:f>
              <c:numCache>
                <c:formatCode>General</c:formatCode>
                <c:ptCount val="9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EE-4B0C-9623-90C1414B0859}"/>
            </c:ext>
          </c:extLst>
        </c:ser>
        <c:ser>
          <c:idx val="1"/>
          <c:order val="1"/>
          <c:tx>
            <c:strRef>
              <c:f>Dataset!$S$1</c:f>
              <c:strCache>
                <c:ptCount val="1"/>
                <c:pt idx="0">
                  <c:v>Strength_Index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15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DEE-4B0C-9623-90C1414B0859}"/>
              </c:ext>
            </c:extLst>
          </c:dPt>
          <c:dPt>
            <c:idx val="76"/>
            <c:invertIfNegative val="0"/>
            <c:bubble3D val="0"/>
            <c:spPr>
              <a:solidFill>
                <a:schemeClr val="accent2"/>
              </a:solidFill>
              <a:ln w="28575">
                <a:solidFill>
                  <a:srgbClr val="FF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DEE-4B0C-9623-90C1414B0859}"/>
              </c:ext>
            </c:extLst>
          </c:dPt>
          <c:dLbls>
            <c:dLbl>
              <c:idx val="1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DEE-4B0C-9623-90C1414B0859}"/>
                </c:ext>
              </c:extLst>
            </c:dLbl>
            <c:dLbl>
              <c:idx val="7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DEE-4B0C-9623-90C1414B085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Dataset!$S$2:$S$94</c:f>
              <c:numCache>
                <c:formatCode>General</c:formatCode>
                <c:ptCount val="93"/>
                <c:pt idx="0">
                  <c:v>8.2799999999999994</c:v>
                </c:pt>
                <c:pt idx="1">
                  <c:v>8.26</c:v>
                </c:pt>
                <c:pt idx="2">
                  <c:v>8.99</c:v>
                </c:pt>
                <c:pt idx="3">
                  <c:v>8.66</c:v>
                </c:pt>
                <c:pt idx="4">
                  <c:v>8.4600000000000009</c:v>
                </c:pt>
                <c:pt idx="5">
                  <c:v>8.26</c:v>
                </c:pt>
                <c:pt idx="6">
                  <c:v>8.5399999999999991</c:v>
                </c:pt>
                <c:pt idx="7">
                  <c:v>8.81</c:v>
                </c:pt>
                <c:pt idx="8">
                  <c:v>8.25</c:v>
                </c:pt>
                <c:pt idx="9">
                  <c:v>8.35</c:v>
                </c:pt>
                <c:pt idx="10">
                  <c:v>9.1300000000000008</c:v>
                </c:pt>
                <c:pt idx="11">
                  <c:v>8.2799999999999994</c:v>
                </c:pt>
                <c:pt idx="12">
                  <c:v>8.2799999999999994</c:v>
                </c:pt>
                <c:pt idx="13">
                  <c:v>7.91</c:v>
                </c:pt>
                <c:pt idx="14">
                  <c:v>9.1999999999999993</c:v>
                </c:pt>
                <c:pt idx="15">
                  <c:v>9.2799999999999994</c:v>
                </c:pt>
                <c:pt idx="16">
                  <c:v>7.47</c:v>
                </c:pt>
                <c:pt idx="17">
                  <c:v>6.13</c:v>
                </c:pt>
                <c:pt idx="18">
                  <c:v>6.73</c:v>
                </c:pt>
                <c:pt idx="19">
                  <c:v>7.28</c:v>
                </c:pt>
                <c:pt idx="20">
                  <c:v>7.28</c:v>
                </c:pt>
                <c:pt idx="21">
                  <c:v>6.29</c:v>
                </c:pt>
                <c:pt idx="22">
                  <c:v>7.51</c:v>
                </c:pt>
                <c:pt idx="23">
                  <c:v>7.26</c:v>
                </c:pt>
                <c:pt idx="24">
                  <c:v>6.98</c:v>
                </c:pt>
                <c:pt idx="25">
                  <c:v>7.24</c:v>
                </c:pt>
                <c:pt idx="26">
                  <c:v>7.08</c:v>
                </c:pt>
                <c:pt idx="27">
                  <c:v>7.13</c:v>
                </c:pt>
                <c:pt idx="28">
                  <c:v>3.45</c:v>
                </c:pt>
                <c:pt idx="29">
                  <c:v>3.76</c:v>
                </c:pt>
                <c:pt idx="30">
                  <c:v>4.08</c:v>
                </c:pt>
                <c:pt idx="31">
                  <c:v>4.09</c:v>
                </c:pt>
                <c:pt idx="32">
                  <c:v>4.03</c:v>
                </c:pt>
                <c:pt idx="33">
                  <c:v>4.78</c:v>
                </c:pt>
                <c:pt idx="34">
                  <c:v>3.77</c:v>
                </c:pt>
                <c:pt idx="35">
                  <c:v>4.13</c:v>
                </c:pt>
                <c:pt idx="36">
                  <c:v>4.04</c:v>
                </c:pt>
                <c:pt idx="37">
                  <c:v>5.07</c:v>
                </c:pt>
                <c:pt idx="38">
                  <c:v>3.86</c:v>
                </c:pt>
                <c:pt idx="39">
                  <c:v>3.78</c:v>
                </c:pt>
                <c:pt idx="40">
                  <c:v>3.23</c:v>
                </c:pt>
                <c:pt idx="41">
                  <c:v>4.03</c:v>
                </c:pt>
                <c:pt idx="42">
                  <c:v>4.3</c:v>
                </c:pt>
                <c:pt idx="43">
                  <c:v>4.68</c:v>
                </c:pt>
                <c:pt idx="44">
                  <c:v>3.83</c:v>
                </c:pt>
                <c:pt idx="45">
                  <c:v>4.8099999999999996</c:v>
                </c:pt>
                <c:pt idx="46">
                  <c:v>4.62</c:v>
                </c:pt>
                <c:pt idx="47">
                  <c:v>4.08</c:v>
                </c:pt>
                <c:pt idx="48">
                  <c:v>4.01</c:v>
                </c:pt>
                <c:pt idx="49">
                  <c:v>3.93</c:v>
                </c:pt>
                <c:pt idx="50">
                  <c:v>4.58</c:v>
                </c:pt>
                <c:pt idx="51">
                  <c:v>3.92</c:v>
                </c:pt>
                <c:pt idx="52">
                  <c:v>4.0999999999999996</c:v>
                </c:pt>
                <c:pt idx="53">
                  <c:v>4.24</c:v>
                </c:pt>
                <c:pt idx="54">
                  <c:v>3.72</c:v>
                </c:pt>
                <c:pt idx="55">
                  <c:v>5.17</c:v>
                </c:pt>
                <c:pt idx="56">
                  <c:v>4.8</c:v>
                </c:pt>
                <c:pt idx="57">
                  <c:v>3.93</c:v>
                </c:pt>
                <c:pt idx="58">
                  <c:v>4.1100000000000003</c:v>
                </c:pt>
                <c:pt idx="59">
                  <c:v>3.64</c:v>
                </c:pt>
                <c:pt idx="60">
                  <c:v>4.95</c:v>
                </c:pt>
                <c:pt idx="61">
                  <c:v>5.04</c:v>
                </c:pt>
                <c:pt idx="62">
                  <c:v>4.53</c:v>
                </c:pt>
                <c:pt idx="63">
                  <c:v>4.5599999999999996</c:v>
                </c:pt>
                <c:pt idx="64">
                  <c:v>4.7300000000000004</c:v>
                </c:pt>
                <c:pt idx="65">
                  <c:v>3.83</c:v>
                </c:pt>
                <c:pt idx="66">
                  <c:v>4.33</c:v>
                </c:pt>
                <c:pt idx="67">
                  <c:v>5.17</c:v>
                </c:pt>
                <c:pt idx="68">
                  <c:v>5.0199999999999996</c:v>
                </c:pt>
                <c:pt idx="69">
                  <c:v>6.13</c:v>
                </c:pt>
                <c:pt idx="70">
                  <c:v>5.65</c:v>
                </c:pt>
                <c:pt idx="71">
                  <c:v>5.04</c:v>
                </c:pt>
                <c:pt idx="72">
                  <c:v>5.36</c:v>
                </c:pt>
                <c:pt idx="73">
                  <c:v>5.17</c:v>
                </c:pt>
                <c:pt idx="74">
                  <c:v>1.83</c:v>
                </c:pt>
                <c:pt idx="75">
                  <c:v>2.36</c:v>
                </c:pt>
                <c:pt idx="76">
                  <c:v>1.39</c:v>
                </c:pt>
                <c:pt idx="77">
                  <c:v>2.5299999999999998</c:v>
                </c:pt>
                <c:pt idx="78">
                  <c:v>2.48</c:v>
                </c:pt>
                <c:pt idx="79">
                  <c:v>3.02</c:v>
                </c:pt>
                <c:pt idx="80">
                  <c:v>1.53</c:v>
                </c:pt>
                <c:pt idx="81">
                  <c:v>2.2599999999999998</c:v>
                </c:pt>
                <c:pt idx="82">
                  <c:v>2.1800000000000002</c:v>
                </c:pt>
                <c:pt idx="83">
                  <c:v>1.99</c:v>
                </c:pt>
                <c:pt idx="84">
                  <c:v>2.91</c:v>
                </c:pt>
                <c:pt idx="85">
                  <c:v>1.92</c:v>
                </c:pt>
                <c:pt idx="86">
                  <c:v>2.82</c:v>
                </c:pt>
                <c:pt idx="87">
                  <c:v>2.67</c:v>
                </c:pt>
                <c:pt idx="88">
                  <c:v>2.3199999999999998</c:v>
                </c:pt>
                <c:pt idx="89">
                  <c:v>2.4300000000000002</c:v>
                </c:pt>
                <c:pt idx="90">
                  <c:v>2.5499999999999998</c:v>
                </c:pt>
                <c:pt idx="91">
                  <c:v>2.71</c:v>
                </c:pt>
                <c:pt idx="92">
                  <c:v>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EE-4B0C-9623-90C1414B0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8485424"/>
        <c:axId val="1038488704"/>
      </c:barChart>
      <c:catAx>
        <c:axId val="1038485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38488704"/>
        <c:crosses val="autoZero"/>
        <c:auto val="1"/>
        <c:lblAlgn val="ctr"/>
        <c:lblOffset val="100"/>
        <c:noMultiLvlLbl val="0"/>
      </c:catAx>
      <c:valAx>
        <c:axId val="103848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3848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273292</xdr:colOff>
      <xdr:row>0</xdr:row>
      <xdr:rowOff>138545</xdr:rowOff>
    </xdr:from>
    <xdr:to>
      <xdr:col>56</xdr:col>
      <xdr:colOff>56445</xdr:colOff>
      <xdr:row>83</xdr:row>
      <xdr:rowOff>127000</xdr:rowOff>
    </xdr:to>
    <xdr:graphicFrame macro="">
      <xdr:nvGraphicFramePr>
        <xdr:cNvPr id="2" name="Діаграма 1">
          <a:extLst>
            <a:ext uri="{FF2B5EF4-FFF2-40B4-BE49-F238E27FC236}">
              <a16:creationId xmlns:a16="http://schemas.microsoft.com/office/drawing/2014/main" id="{1EB12800-591A-43C9-9D3A-55ABD8DDD7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19819</xdr:colOff>
      <xdr:row>98</xdr:row>
      <xdr:rowOff>159839</xdr:rowOff>
    </xdr:from>
    <xdr:to>
      <xdr:col>10</xdr:col>
      <xdr:colOff>539172</xdr:colOff>
      <xdr:row>118</xdr:row>
      <xdr:rowOff>131704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15E020D2-90E1-4A87-9B53-5A08A003B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72380</xdr:colOff>
      <xdr:row>98</xdr:row>
      <xdr:rowOff>124783</xdr:rowOff>
    </xdr:from>
    <xdr:to>
      <xdr:col>15</xdr:col>
      <xdr:colOff>1138052</xdr:colOff>
      <xdr:row>118</xdr:row>
      <xdr:rowOff>138545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EACCC189-DDA6-4E07-84E8-524A8837AC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982105</xdr:colOff>
      <xdr:row>98</xdr:row>
      <xdr:rowOff>170965</xdr:rowOff>
    </xdr:from>
    <xdr:to>
      <xdr:col>22</xdr:col>
      <xdr:colOff>338667</xdr:colOff>
      <xdr:row>118</xdr:row>
      <xdr:rowOff>108858</xdr:rowOff>
    </xdr:to>
    <xdr:graphicFrame macro="">
      <xdr:nvGraphicFramePr>
        <xdr:cNvPr id="7" name="Діаграма 6">
          <a:extLst>
            <a:ext uri="{FF2B5EF4-FFF2-40B4-BE49-F238E27FC236}">
              <a16:creationId xmlns:a16="http://schemas.microsoft.com/office/drawing/2014/main" id="{B2C50349-08BA-43B9-BA41-62C3C2E4AB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0DBAF-78DF-45DA-B827-95A7F5774D2E}" name="Таблиця1" displayName="Таблиця1" ref="A1:V94" totalsRowShown="0" headerRowBorderDxfId="1">
  <autoFilter ref="A1:V94" xr:uid="{45D0DBAF-78DF-45DA-B827-95A7F5774D2E}"/>
  <tableColumns count="22">
    <tableColumn id="1" xr3:uid="{46891944-24CE-43CB-9D8F-DC4C418ABF1E}" name="Athlete_ID"/>
    <tableColumn id="2" xr3:uid="{1CF65D1E-F0AE-44EA-96EE-C8C1F441CF5A}" name="Gender"/>
    <tableColumn id="3" xr3:uid="{13D8D122-4949-4E0B-98B6-3EE5239622DD}" name="Age"/>
    <tableColumn id="4" xr3:uid="{1ED35794-4E10-4272-A3FA-AF6D05BB8164}" name="Sport_Level"/>
    <tableColumn id="5" xr3:uid="{9C324119-A604-44F7-8CA9-EAF591949E41}" name="Experience_Years"/>
    <tableColumn id="6" xr3:uid="{B66BDAA4-847C-40B2-839A-9E0140E6001A}" name="Trainings_Per_Week"/>
    <tableColumn id="7" xr3:uid="{623B03E1-9107-4793-9434-8BD3AAB7989A}" name="Hours_Per_Training"/>
    <tableColumn id="8" xr3:uid="{9C928972-3058-4569-B381-327AB0E44F75}" name="Push_Ups_1min"/>
    <tableColumn id="9" xr3:uid="{0C3B0679-A40E-494A-9CEC-AA3709953CFA}" name="Sit_Ups_1min"/>
    <tableColumn id="10" xr3:uid="{1E34BC8F-0A70-4463-94F8-0C337B314010}" name="Squats_1min"/>
    <tableColumn id="11" xr3:uid="{FFF5D5A5-2ED8-42EF-94F7-C8E64EC45C87}" name="Plank_sec"/>
    <tableColumn id="12" xr3:uid="{02CC4336-08A8-444C-96C7-9F73E2236222}" name="Wall_Sit_sec"/>
    <tableColumn id="13" xr3:uid="{B9AB243B-3B03-4F96-AA36-0DCC3362AE20}" name="Superman_sec"/>
    <tableColumn id="14" xr3:uid="{310484AE-254C-46BC-A252-7519CA58CA4F}" name="Jumps_1min"/>
    <tableColumn id="15" xr3:uid="{FE536EFF-AFF4-4E4E-9E16-1F02BC25458F}" name="Flexibility_10"/>
    <tableColumn id="16" xr3:uid="{10E91574-9ADE-4E18-A9F2-DD3C3EF55107}" name="Balance_Right_sec"/>
    <tableColumn id="17" xr3:uid="{0EEDFC54-2F77-4B90-881E-A3793140C939}" name="Balance_Left_sec"/>
    <tableColumn id="18" xr3:uid="{D9393081-ED34-4029-A039-E8C71F60C432}" name="Endurance_Index">
      <calculatedColumnFormula>ROUND((((K2/418)+(L2/354)+(M2/174))/3)*10,2)</calculatedColumnFormula>
    </tableColumn>
    <tableColumn id="19" xr3:uid="{90E7D1CF-B2B1-4841-B99D-68DE961885D8}" name="Strength_Index">
      <calculatedColumnFormula>ROUND((((H2/70)+(I2/78)+(J2/100))/3)*10,2)</calculatedColumnFormula>
    </tableColumn>
    <tableColumn id="20" xr3:uid="{601696A3-68A0-41C2-B5D8-4DCEB2A9084A}" name="Balance_Index" dataDxfId="0">
      <calculatedColumnFormula>ROUND((((P2/171)+(Q2/179))/2)*10,2)</calculatedColumnFormula>
    </tableColumn>
    <tableColumn id="21" xr3:uid="{9DBA2890-3E4F-47F2-9899-881B670F5FE5}" name="Final_Score">
      <calculatedColumnFormula>ROUND(((S2*0.35)+(R2*0.3)+(O2*0.2)+(T2*0.15))*10,2)</calculatedColumnFormula>
    </tableColumn>
    <tableColumn id="22" xr3:uid="{2F9E3ABA-71E2-409A-8312-E31C2CC99FE0}" name="Training_Load">
      <calculatedColumnFormula>F2*G2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topLeftCell="O1" zoomScale="55" zoomScaleNormal="55" workbookViewId="0">
      <selection activeCell="M32" sqref="M32"/>
    </sheetView>
  </sheetViews>
  <sheetFormatPr defaultRowHeight="14.4" x14ac:dyDescent="0.3"/>
  <cols>
    <col min="1" max="1" width="16.77734375" bestFit="1" customWidth="1"/>
    <col min="2" max="2" width="13.88671875" bestFit="1" customWidth="1"/>
    <col min="3" max="3" width="10.77734375" bestFit="1" customWidth="1"/>
    <col min="4" max="4" width="18.33203125" bestFit="1" customWidth="1"/>
    <col min="5" max="5" width="22.77734375" bestFit="1" customWidth="1"/>
    <col min="6" max="6" width="25.21875" bestFit="1" customWidth="1"/>
    <col min="7" max="7" width="24.44140625" bestFit="1" customWidth="1"/>
    <col min="8" max="8" width="21.21875" bestFit="1" customWidth="1"/>
    <col min="9" max="9" width="19.109375" bestFit="1" customWidth="1"/>
    <col min="10" max="10" width="18.5546875" bestFit="1" customWidth="1"/>
    <col min="11" max="11" width="15.6640625" bestFit="1" customWidth="1"/>
    <col min="12" max="12" width="18" customWidth="1"/>
    <col min="13" max="13" width="20" bestFit="1" customWidth="1"/>
    <col min="14" max="14" width="18.21875" bestFit="1" customWidth="1"/>
    <col min="15" max="15" width="18.88671875" bestFit="1" customWidth="1"/>
    <col min="16" max="16" width="23.109375" bestFit="1" customWidth="1"/>
    <col min="17" max="17" width="22.21875" bestFit="1" customWidth="1"/>
    <col min="18" max="18" width="22.33203125" bestFit="1" customWidth="1"/>
    <col min="19" max="19" width="20.88671875" bestFit="1" customWidth="1"/>
    <col min="20" max="20" width="19.6640625" style="2" bestFit="1" customWidth="1"/>
    <col min="21" max="21" width="17.109375" bestFit="1" customWidth="1"/>
    <col min="22" max="22" width="16.109375" bestFit="1" customWidth="1"/>
  </cols>
  <sheetData>
    <row r="1" spans="1:2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29</v>
      </c>
      <c r="T1" s="4" t="s">
        <v>30</v>
      </c>
      <c r="U1" s="4" t="s">
        <v>18</v>
      </c>
      <c r="V1" s="5" t="s">
        <v>31</v>
      </c>
    </row>
    <row r="2" spans="1:22" x14ac:dyDescent="0.3">
      <c r="A2">
        <v>1</v>
      </c>
      <c r="B2" t="s">
        <v>19</v>
      </c>
      <c r="C2">
        <v>14</v>
      </c>
      <c r="D2" t="s">
        <v>20</v>
      </c>
      <c r="E2">
        <v>10</v>
      </c>
      <c r="F2">
        <v>6</v>
      </c>
      <c r="G2">
        <v>4</v>
      </c>
      <c r="H2">
        <v>68</v>
      </c>
      <c r="I2">
        <v>58</v>
      </c>
      <c r="J2">
        <v>77</v>
      </c>
      <c r="K2">
        <v>297</v>
      </c>
      <c r="L2">
        <v>215</v>
      </c>
      <c r="M2">
        <v>103</v>
      </c>
      <c r="N2">
        <v>114</v>
      </c>
      <c r="O2">
        <v>8.1999999999999993</v>
      </c>
      <c r="P2">
        <v>144</v>
      </c>
      <c r="Q2">
        <v>94</v>
      </c>
      <c r="R2">
        <f>ROUND((((K2/418)+(L2/354)+(M2/174))/3)*10,2)</f>
        <v>6.37</v>
      </c>
      <c r="S2">
        <f>ROUND((((H2/70)+(I2/78)+(J2/100))/3)*10,2)</f>
        <v>8.2799999999999994</v>
      </c>
      <c r="T2" s="2">
        <f>ROUND((((P2/171)+(Q2/179))/2)*10,2)</f>
        <v>6.84</v>
      </c>
      <c r="U2">
        <f>ROUND(((S2*0.35)+(R2*0.3)+(O2*0.2)+(T2*0.15))*10,2)</f>
        <v>74.75</v>
      </c>
      <c r="V2">
        <f>F2*G2</f>
        <v>24</v>
      </c>
    </row>
    <row r="3" spans="1:22" x14ac:dyDescent="0.3">
      <c r="A3">
        <v>2</v>
      </c>
      <c r="B3" t="s">
        <v>21</v>
      </c>
      <c r="C3">
        <v>17</v>
      </c>
      <c r="D3" t="s">
        <v>20</v>
      </c>
      <c r="E3">
        <v>12</v>
      </c>
      <c r="F3">
        <v>6</v>
      </c>
      <c r="G3">
        <v>4</v>
      </c>
      <c r="H3">
        <v>52</v>
      </c>
      <c r="I3">
        <v>66</v>
      </c>
      <c r="J3">
        <v>89</v>
      </c>
      <c r="K3">
        <v>246</v>
      </c>
      <c r="L3">
        <v>323</v>
      </c>
      <c r="M3">
        <v>115</v>
      </c>
      <c r="N3">
        <v>114</v>
      </c>
      <c r="O3">
        <v>8.8000000000000007</v>
      </c>
      <c r="P3">
        <v>147</v>
      </c>
      <c r="Q3">
        <v>165</v>
      </c>
      <c r="R3">
        <f t="shared" ref="R3:R66" si="0">ROUND((((K3/418)+(L3/354)+(M3/174))/3)*10,2)</f>
        <v>7.21</v>
      </c>
      <c r="S3">
        <f t="shared" ref="S3:S66" si="1">ROUND((((H3/70)+(I3/78)+(J3/100))/3)*10,2)</f>
        <v>8.26</v>
      </c>
      <c r="T3" s="2">
        <f t="shared" ref="T3:T66" si="2">ROUND((((P3/171)+(Q3/179))/2)*10,2)</f>
        <v>8.91</v>
      </c>
      <c r="U3">
        <f t="shared" ref="U3:U66" si="3">ROUND(((S3*0.35)+(R3*0.3)+(O3*0.2)+(T3*0.15))*10,2)</f>
        <v>81.510000000000005</v>
      </c>
      <c r="V3">
        <f t="shared" ref="V3:V66" si="4">F3*G3</f>
        <v>24</v>
      </c>
    </row>
    <row r="4" spans="1:22" x14ac:dyDescent="0.3">
      <c r="A4">
        <v>3</v>
      </c>
      <c r="B4" t="s">
        <v>19</v>
      </c>
      <c r="C4">
        <v>14</v>
      </c>
      <c r="D4" t="s">
        <v>20</v>
      </c>
      <c r="E4">
        <v>10</v>
      </c>
      <c r="F4">
        <v>6</v>
      </c>
      <c r="G4">
        <v>4</v>
      </c>
      <c r="H4">
        <v>69</v>
      </c>
      <c r="I4">
        <v>75</v>
      </c>
      <c r="J4">
        <v>75</v>
      </c>
      <c r="K4">
        <v>418</v>
      </c>
      <c r="L4">
        <v>288</v>
      </c>
      <c r="M4">
        <v>133</v>
      </c>
      <c r="N4">
        <v>97</v>
      </c>
      <c r="O4">
        <v>8.3000000000000007</v>
      </c>
      <c r="P4">
        <v>133</v>
      </c>
      <c r="Q4">
        <v>103</v>
      </c>
      <c r="R4">
        <f t="shared" si="0"/>
        <v>8.59</v>
      </c>
      <c r="S4">
        <f t="shared" si="1"/>
        <v>8.99</v>
      </c>
      <c r="T4" s="2">
        <f t="shared" si="2"/>
        <v>6.77</v>
      </c>
      <c r="U4">
        <f t="shared" si="3"/>
        <v>83.99</v>
      </c>
      <c r="V4">
        <f t="shared" si="4"/>
        <v>24</v>
      </c>
    </row>
    <row r="5" spans="1:22" x14ac:dyDescent="0.3">
      <c r="A5">
        <v>4</v>
      </c>
      <c r="B5" t="s">
        <v>21</v>
      </c>
      <c r="C5">
        <v>15</v>
      </c>
      <c r="D5" t="s">
        <v>20</v>
      </c>
      <c r="E5">
        <v>10</v>
      </c>
      <c r="F5">
        <v>6</v>
      </c>
      <c r="G5">
        <v>4</v>
      </c>
      <c r="H5">
        <v>56</v>
      </c>
      <c r="I5">
        <v>77</v>
      </c>
      <c r="J5">
        <v>81</v>
      </c>
      <c r="K5">
        <v>394</v>
      </c>
      <c r="L5">
        <v>247</v>
      </c>
      <c r="M5">
        <v>95</v>
      </c>
      <c r="N5">
        <v>109</v>
      </c>
      <c r="O5">
        <v>9.1</v>
      </c>
      <c r="P5">
        <v>138</v>
      </c>
      <c r="Q5">
        <v>100</v>
      </c>
      <c r="R5">
        <f t="shared" si="0"/>
        <v>7.29</v>
      </c>
      <c r="S5">
        <f t="shared" si="1"/>
        <v>8.66</v>
      </c>
      <c r="T5" s="2">
        <f t="shared" si="2"/>
        <v>6.83</v>
      </c>
      <c r="U5">
        <f t="shared" si="3"/>
        <v>80.63</v>
      </c>
      <c r="V5">
        <f t="shared" si="4"/>
        <v>24</v>
      </c>
    </row>
    <row r="6" spans="1:22" x14ac:dyDescent="0.3">
      <c r="A6">
        <v>5</v>
      </c>
      <c r="B6" t="s">
        <v>19</v>
      </c>
      <c r="C6">
        <v>19</v>
      </c>
      <c r="D6" t="s">
        <v>20</v>
      </c>
      <c r="E6">
        <v>14</v>
      </c>
      <c r="F6">
        <v>6</v>
      </c>
      <c r="G6">
        <v>4</v>
      </c>
      <c r="H6">
        <v>63</v>
      </c>
      <c r="I6">
        <v>56</v>
      </c>
      <c r="J6">
        <v>92</v>
      </c>
      <c r="K6">
        <v>257</v>
      </c>
      <c r="L6">
        <v>191</v>
      </c>
      <c r="M6">
        <v>174</v>
      </c>
      <c r="N6">
        <v>94</v>
      </c>
      <c r="O6">
        <v>9.5</v>
      </c>
      <c r="P6">
        <v>100</v>
      </c>
      <c r="Q6">
        <v>119</v>
      </c>
      <c r="R6">
        <f t="shared" si="0"/>
        <v>7.18</v>
      </c>
      <c r="S6">
        <f t="shared" si="1"/>
        <v>8.4600000000000009</v>
      </c>
      <c r="T6" s="2">
        <f t="shared" si="2"/>
        <v>6.25</v>
      </c>
      <c r="U6">
        <f t="shared" si="3"/>
        <v>79.53</v>
      </c>
      <c r="V6">
        <f t="shared" si="4"/>
        <v>24</v>
      </c>
    </row>
    <row r="7" spans="1:22" x14ac:dyDescent="0.3">
      <c r="A7">
        <v>6</v>
      </c>
      <c r="B7" t="s">
        <v>19</v>
      </c>
      <c r="C7">
        <v>20</v>
      </c>
      <c r="D7" t="s">
        <v>20</v>
      </c>
      <c r="E7">
        <v>16</v>
      </c>
      <c r="F7">
        <v>6</v>
      </c>
      <c r="G7">
        <v>4</v>
      </c>
      <c r="H7">
        <v>53</v>
      </c>
      <c r="I7">
        <v>64</v>
      </c>
      <c r="J7">
        <v>90</v>
      </c>
      <c r="K7">
        <v>333</v>
      </c>
      <c r="L7">
        <v>221</v>
      </c>
      <c r="M7">
        <v>137</v>
      </c>
      <c r="N7">
        <v>102</v>
      </c>
      <c r="O7">
        <v>8.4</v>
      </c>
      <c r="P7">
        <v>124</v>
      </c>
      <c r="Q7">
        <v>179</v>
      </c>
      <c r="R7">
        <f t="shared" si="0"/>
        <v>7.36</v>
      </c>
      <c r="S7">
        <f t="shared" si="1"/>
        <v>8.26</v>
      </c>
      <c r="T7" s="2">
        <f t="shared" si="2"/>
        <v>8.6300000000000008</v>
      </c>
      <c r="U7">
        <f t="shared" si="3"/>
        <v>80.739999999999995</v>
      </c>
      <c r="V7">
        <f t="shared" si="4"/>
        <v>24</v>
      </c>
    </row>
    <row r="8" spans="1:22" x14ac:dyDescent="0.3">
      <c r="A8">
        <v>7</v>
      </c>
      <c r="B8" t="s">
        <v>19</v>
      </c>
      <c r="C8">
        <v>15</v>
      </c>
      <c r="D8" t="s">
        <v>20</v>
      </c>
      <c r="E8">
        <v>10</v>
      </c>
      <c r="F8">
        <v>6</v>
      </c>
      <c r="G8">
        <v>4</v>
      </c>
      <c r="H8">
        <v>64</v>
      </c>
      <c r="I8">
        <v>70</v>
      </c>
      <c r="J8">
        <v>75</v>
      </c>
      <c r="K8">
        <v>376</v>
      </c>
      <c r="L8">
        <v>242</v>
      </c>
      <c r="M8">
        <v>110</v>
      </c>
      <c r="N8">
        <v>109</v>
      </c>
      <c r="O8">
        <v>8.8000000000000007</v>
      </c>
      <c r="P8">
        <v>171</v>
      </c>
      <c r="Q8">
        <v>178</v>
      </c>
      <c r="R8">
        <f t="shared" si="0"/>
        <v>7.38</v>
      </c>
      <c r="S8">
        <f t="shared" si="1"/>
        <v>8.5399999999999991</v>
      </c>
      <c r="T8" s="2">
        <f t="shared" si="2"/>
        <v>9.9700000000000006</v>
      </c>
      <c r="U8">
        <f t="shared" si="3"/>
        <v>84.59</v>
      </c>
      <c r="V8">
        <f t="shared" si="4"/>
        <v>24</v>
      </c>
    </row>
    <row r="9" spans="1:22" x14ac:dyDescent="0.3">
      <c r="A9">
        <v>8</v>
      </c>
      <c r="B9" t="s">
        <v>19</v>
      </c>
      <c r="C9">
        <v>19</v>
      </c>
      <c r="D9" t="s">
        <v>20</v>
      </c>
      <c r="E9">
        <v>14</v>
      </c>
      <c r="F9">
        <v>6</v>
      </c>
      <c r="G9">
        <v>4</v>
      </c>
      <c r="H9">
        <v>69</v>
      </c>
      <c r="I9">
        <v>74</v>
      </c>
      <c r="J9">
        <v>71</v>
      </c>
      <c r="K9">
        <v>298</v>
      </c>
      <c r="L9">
        <v>188</v>
      </c>
      <c r="M9">
        <v>130</v>
      </c>
      <c r="N9">
        <v>105</v>
      </c>
      <c r="O9">
        <v>8.5</v>
      </c>
      <c r="P9">
        <v>117</v>
      </c>
      <c r="Q9">
        <v>162</v>
      </c>
      <c r="R9">
        <f t="shared" si="0"/>
        <v>6.64</v>
      </c>
      <c r="S9">
        <f t="shared" si="1"/>
        <v>8.81</v>
      </c>
      <c r="T9" s="2">
        <f t="shared" si="2"/>
        <v>7.95</v>
      </c>
      <c r="U9">
        <f t="shared" si="3"/>
        <v>79.680000000000007</v>
      </c>
      <c r="V9">
        <f t="shared" si="4"/>
        <v>24</v>
      </c>
    </row>
    <row r="10" spans="1:22" x14ac:dyDescent="0.3">
      <c r="A10">
        <v>9</v>
      </c>
      <c r="B10" t="s">
        <v>19</v>
      </c>
      <c r="C10">
        <v>19</v>
      </c>
      <c r="D10" t="s">
        <v>20</v>
      </c>
      <c r="E10">
        <v>12</v>
      </c>
      <c r="F10">
        <v>6</v>
      </c>
      <c r="G10">
        <v>4</v>
      </c>
      <c r="H10">
        <v>51</v>
      </c>
      <c r="I10">
        <v>70</v>
      </c>
      <c r="J10">
        <v>85</v>
      </c>
      <c r="K10">
        <v>341</v>
      </c>
      <c r="L10">
        <v>344</v>
      </c>
      <c r="M10">
        <v>148</v>
      </c>
      <c r="N10">
        <v>89</v>
      </c>
      <c r="O10">
        <v>8.5</v>
      </c>
      <c r="P10">
        <v>121</v>
      </c>
      <c r="Q10">
        <v>161</v>
      </c>
      <c r="R10">
        <f t="shared" si="0"/>
        <v>8.7899999999999991</v>
      </c>
      <c r="S10">
        <f t="shared" si="1"/>
        <v>8.25</v>
      </c>
      <c r="T10" s="2">
        <f t="shared" si="2"/>
        <v>8.0399999999999991</v>
      </c>
      <c r="U10">
        <f t="shared" si="3"/>
        <v>84.31</v>
      </c>
      <c r="V10">
        <f t="shared" si="4"/>
        <v>24</v>
      </c>
    </row>
    <row r="11" spans="1:22" x14ac:dyDescent="0.3">
      <c r="A11">
        <v>10</v>
      </c>
      <c r="B11" t="s">
        <v>19</v>
      </c>
      <c r="C11">
        <v>20</v>
      </c>
      <c r="D11" t="s">
        <v>20</v>
      </c>
      <c r="E11">
        <v>15</v>
      </c>
      <c r="F11">
        <v>6</v>
      </c>
      <c r="G11">
        <v>4</v>
      </c>
      <c r="H11">
        <v>63</v>
      </c>
      <c r="I11">
        <v>62</v>
      </c>
      <c r="J11">
        <v>81</v>
      </c>
      <c r="K11">
        <v>296</v>
      </c>
      <c r="L11">
        <v>215</v>
      </c>
      <c r="M11">
        <v>155</v>
      </c>
      <c r="N11">
        <v>111</v>
      </c>
      <c r="O11">
        <v>8.1999999999999993</v>
      </c>
      <c r="P11">
        <v>96</v>
      </c>
      <c r="Q11">
        <v>104</v>
      </c>
      <c r="R11">
        <f t="shared" si="0"/>
        <v>7.35</v>
      </c>
      <c r="S11">
        <f t="shared" si="1"/>
        <v>8.35</v>
      </c>
      <c r="T11" s="2">
        <f t="shared" si="2"/>
        <v>5.71</v>
      </c>
      <c r="U11">
        <f t="shared" si="3"/>
        <v>76.239999999999995</v>
      </c>
      <c r="V11">
        <f t="shared" si="4"/>
        <v>24</v>
      </c>
    </row>
    <row r="12" spans="1:22" x14ac:dyDescent="0.3">
      <c r="A12">
        <v>11</v>
      </c>
      <c r="B12" t="s">
        <v>21</v>
      </c>
      <c r="C12">
        <v>16</v>
      </c>
      <c r="D12" t="s">
        <v>20</v>
      </c>
      <c r="E12">
        <v>10</v>
      </c>
      <c r="F12">
        <v>6</v>
      </c>
      <c r="G12">
        <v>4</v>
      </c>
      <c r="H12">
        <v>70</v>
      </c>
      <c r="I12">
        <v>71</v>
      </c>
      <c r="J12">
        <v>83</v>
      </c>
      <c r="K12">
        <v>392</v>
      </c>
      <c r="L12">
        <v>196</v>
      </c>
      <c r="M12">
        <v>139</v>
      </c>
      <c r="N12">
        <v>104</v>
      </c>
      <c r="O12">
        <v>9.1999999999999993</v>
      </c>
      <c r="P12">
        <v>149</v>
      </c>
      <c r="Q12">
        <v>157</v>
      </c>
      <c r="R12">
        <f t="shared" si="0"/>
        <v>7.63</v>
      </c>
      <c r="S12">
        <f t="shared" si="1"/>
        <v>9.1300000000000008</v>
      </c>
      <c r="T12" s="2">
        <f t="shared" si="2"/>
        <v>8.74</v>
      </c>
      <c r="U12">
        <f t="shared" si="3"/>
        <v>86.36</v>
      </c>
      <c r="V12">
        <f t="shared" si="4"/>
        <v>24</v>
      </c>
    </row>
    <row r="13" spans="1:22" x14ac:dyDescent="0.3">
      <c r="A13">
        <v>12</v>
      </c>
      <c r="B13" t="s">
        <v>21</v>
      </c>
      <c r="C13">
        <v>22</v>
      </c>
      <c r="D13" t="s">
        <v>20</v>
      </c>
      <c r="E13">
        <v>16</v>
      </c>
      <c r="F13">
        <v>6</v>
      </c>
      <c r="G13">
        <v>4</v>
      </c>
      <c r="H13">
        <v>45</v>
      </c>
      <c r="I13">
        <v>71</v>
      </c>
      <c r="J13">
        <v>93</v>
      </c>
      <c r="K13">
        <v>269</v>
      </c>
      <c r="L13">
        <v>354</v>
      </c>
      <c r="M13">
        <v>158</v>
      </c>
      <c r="N13">
        <v>97</v>
      </c>
      <c r="O13">
        <v>9.5</v>
      </c>
      <c r="P13">
        <v>133</v>
      </c>
      <c r="Q13">
        <v>104</v>
      </c>
      <c r="R13">
        <f t="shared" si="0"/>
        <v>8.51</v>
      </c>
      <c r="S13">
        <f t="shared" si="1"/>
        <v>8.2799999999999994</v>
      </c>
      <c r="T13" s="2">
        <f t="shared" si="2"/>
        <v>6.79</v>
      </c>
      <c r="U13">
        <f t="shared" si="3"/>
        <v>83.7</v>
      </c>
      <c r="V13">
        <f t="shared" si="4"/>
        <v>24</v>
      </c>
    </row>
    <row r="14" spans="1:22" x14ac:dyDescent="0.3">
      <c r="A14">
        <v>13</v>
      </c>
      <c r="B14" t="s">
        <v>19</v>
      </c>
      <c r="C14">
        <v>16</v>
      </c>
      <c r="D14" t="s">
        <v>20</v>
      </c>
      <c r="E14">
        <v>10</v>
      </c>
      <c r="F14">
        <v>6</v>
      </c>
      <c r="G14">
        <v>4</v>
      </c>
      <c r="H14">
        <v>59</v>
      </c>
      <c r="I14">
        <v>50</v>
      </c>
      <c r="J14">
        <v>100</v>
      </c>
      <c r="K14">
        <v>307</v>
      </c>
      <c r="L14">
        <v>308</v>
      </c>
      <c r="M14">
        <v>112</v>
      </c>
      <c r="N14">
        <v>112</v>
      </c>
      <c r="O14">
        <v>9.8000000000000007</v>
      </c>
      <c r="P14">
        <v>170</v>
      </c>
      <c r="Q14">
        <v>128</v>
      </c>
      <c r="R14">
        <f t="shared" si="0"/>
        <v>7.49</v>
      </c>
      <c r="S14">
        <f t="shared" si="1"/>
        <v>8.2799999999999994</v>
      </c>
      <c r="T14" s="2">
        <f t="shared" si="2"/>
        <v>8.5500000000000007</v>
      </c>
      <c r="U14">
        <f t="shared" si="3"/>
        <v>83.88</v>
      </c>
      <c r="V14">
        <f t="shared" si="4"/>
        <v>24</v>
      </c>
    </row>
    <row r="15" spans="1:22" x14ac:dyDescent="0.3">
      <c r="A15">
        <v>14</v>
      </c>
      <c r="B15" t="s">
        <v>19</v>
      </c>
      <c r="C15">
        <v>22</v>
      </c>
      <c r="D15" t="s">
        <v>20</v>
      </c>
      <c r="E15">
        <v>17</v>
      </c>
      <c r="F15">
        <v>6</v>
      </c>
      <c r="G15">
        <v>4</v>
      </c>
      <c r="H15">
        <v>64</v>
      </c>
      <c r="I15">
        <v>56</v>
      </c>
      <c r="J15">
        <v>74</v>
      </c>
      <c r="K15">
        <v>335</v>
      </c>
      <c r="L15">
        <v>221</v>
      </c>
      <c r="M15">
        <v>159</v>
      </c>
      <c r="N15">
        <v>113</v>
      </c>
      <c r="O15">
        <v>9.8000000000000007</v>
      </c>
      <c r="P15">
        <v>166</v>
      </c>
      <c r="Q15">
        <v>131</v>
      </c>
      <c r="R15">
        <f t="shared" si="0"/>
        <v>7.8</v>
      </c>
      <c r="S15">
        <f t="shared" si="1"/>
        <v>7.91</v>
      </c>
      <c r="T15" s="2">
        <f t="shared" si="2"/>
        <v>8.51</v>
      </c>
      <c r="U15">
        <f t="shared" si="3"/>
        <v>83.45</v>
      </c>
      <c r="V15">
        <f t="shared" si="4"/>
        <v>24</v>
      </c>
    </row>
    <row r="16" spans="1:22" x14ac:dyDescent="0.3">
      <c r="A16">
        <v>15</v>
      </c>
      <c r="B16" t="s">
        <v>19</v>
      </c>
      <c r="C16">
        <v>15</v>
      </c>
      <c r="D16" t="s">
        <v>20</v>
      </c>
      <c r="E16">
        <v>10</v>
      </c>
      <c r="F16">
        <v>6</v>
      </c>
      <c r="G16">
        <v>4</v>
      </c>
      <c r="H16">
        <v>56</v>
      </c>
      <c r="I16">
        <v>78</v>
      </c>
      <c r="J16">
        <v>96</v>
      </c>
      <c r="K16">
        <v>318</v>
      </c>
      <c r="L16">
        <v>241</v>
      </c>
      <c r="M16">
        <v>97</v>
      </c>
      <c r="N16">
        <v>95</v>
      </c>
      <c r="O16">
        <v>9.8000000000000007</v>
      </c>
      <c r="P16">
        <v>100</v>
      </c>
      <c r="Q16">
        <v>100</v>
      </c>
      <c r="R16">
        <f t="shared" si="0"/>
        <v>6.66</v>
      </c>
      <c r="S16">
        <f t="shared" si="1"/>
        <v>9.1999999999999993</v>
      </c>
      <c r="T16" s="2">
        <f t="shared" si="2"/>
        <v>5.72</v>
      </c>
      <c r="U16">
        <f t="shared" si="3"/>
        <v>80.36</v>
      </c>
      <c r="V16">
        <f t="shared" si="4"/>
        <v>24</v>
      </c>
    </row>
    <row r="17" spans="1:22" x14ac:dyDescent="0.3">
      <c r="A17">
        <v>16</v>
      </c>
      <c r="B17" t="s">
        <v>19</v>
      </c>
      <c r="C17">
        <v>15</v>
      </c>
      <c r="D17" t="s">
        <v>20</v>
      </c>
      <c r="E17">
        <v>10</v>
      </c>
      <c r="F17">
        <v>6</v>
      </c>
      <c r="G17">
        <v>4</v>
      </c>
      <c r="H17">
        <v>69</v>
      </c>
      <c r="I17">
        <v>67</v>
      </c>
      <c r="J17">
        <v>94</v>
      </c>
      <c r="K17">
        <v>272</v>
      </c>
      <c r="L17">
        <v>212</v>
      </c>
      <c r="M17">
        <v>174</v>
      </c>
      <c r="N17">
        <v>110</v>
      </c>
      <c r="O17">
        <v>9.9</v>
      </c>
      <c r="P17">
        <v>111</v>
      </c>
      <c r="Q17">
        <v>123</v>
      </c>
      <c r="R17">
        <f t="shared" si="0"/>
        <v>7.5</v>
      </c>
      <c r="S17">
        <f t="shared" si="1"/>
        <v>9.2799999999999994</v>
      </c>
      <c r="T17" s="2">
        <f t="shared" si="2"/>
        <v>6.68</v>
      </c>
      <c r="U17">
        <f t="shared" si="3"/>
        <v>84.8</v>
      </c>
      <c r="V17">
        <f t="shared" si="4"/>
        <v>24</v>
      </c>
    </row>
    <row r="18" spans="1:22" x14ac:dyDescent="0.3">
      <c r="A18">
        <v>17</v>
      </c>
      <c r="B18" t="s">
        <v>19</v>
      </c>
      <c r="C18">
        <v>14</v>
      </c>
      <c r="D18" t="s">
        <v>22</v>
      </c>
      <c r="E18">
        <v>7</v>
      </c>
      <c r="F18">
        <v>6</v>
      </c>
      <c r="G18">
        <v>4</v>
      </c>
      <c r="H18">
        <v>41</v>
      </c>
      <c r="I18">
        <v>69</v>
      </c>
      <c r="J18">
        <v>77</v>
      </c>
      <c r="K18">
        <v>231</v>
      </c>
      <c r="L18">
        <v>199</v>
      </c>
      <c r="M18">
        <v>121</v>
      </c>
      <c r="N18">
        <v>91</v>
      </c>
      <c r="O18">
        <v>8.6</v>
      </c>
      <c r="P18">
        <v>126</v>
      </c>
      <c r="Q18">
        <v>136</v>
      </c>
      <c r="R18">
        <f t="shared" si="0"/>
        <v>6.03</v>
      </c>
      <c r="S18">
        <f t="shared" si="1"/>
        <v>7.47</v>
      </c>
      <c r="T18" s="2">
        <f t="shared" si="2"/>
        <v>7.48</v>
      </c>
      <c r="U18">
        <f t="shared" si="3"/>
        <v>72.66</v>
      </c>
      <c r="V18">
        <f t="shared" si="4"/>
        <v>24</v>
      </c>
    </row>
    <row r="19" spans="1:22" x14ac:dyDescent="0.3">
      <c r="A19">
        <v>18</v>
      </c>
      <c r="B19" t="s">
        <v>19</v>
      </c>
      <c r="C19">
        <v>12</v>
      </c>
      <c r="D19" t="s">
        <v>22</v>
      </c>
      <c r="E19">
        <v>7</v>
      </c>
      <c r="F19">
        <v>6</v>
      </c>
      <c r="G19">
        <v>4</v>
      </c>
      <c r="H19">
        <v>42</v>
      </c>
      <c r="I19">
        <v>42</v>
      </c>
      <c r="J19">
        <v>70</v>
      </c>
      <c r="K19">
        <v>185</v>
      </c>
      <c r="L19">
        <v>270</v>
      </c>
      <c r="M19">
        <v>140</v>
      </c>
      <c r="N19">
        <v>77</v>
      </c>
      <c r="O19">
        <v>8.5</v>
      </c>
      <c r="P19">
        <v>70</v>
      </c>
      <c r="Q19">
        <v>79</v>
      </c>
      <c r="R19">
        <f t="shared" si="0"/>
        <v>6.7</v>
      </c>
      <c r="S19">
        <f t="shared" si="1"/>
        <v>6.13</v>
      </c>
      <c r="T19" s="2">
        <f t="shared" si="2"/>
        <v>4.25</v>
      </c>
      <c r="U19">
        <f t="shared" si="3"/>
        <v>64.930000000000007</v>
      </c>
      <c r="V19">
        <f t="shared" si="4"/>
        <v>24</v>
      </c>
    </row>
    <row r="20" spans="1:22" x14ac:dyDescent="0.3">
      <c r="A20">
        <v>19</v>
      </c>
      <c r="B20" t="s">
        <v>19</v>
      </c>
      <c r="C20">
        <v>11</v>
      </c>
      <c r="D20" t="s">
        <v>22</v>
      </c>
      <c r="E20">
        <v>7</v>
      </c>
      <c r="F20">
        <v>6</v>
      </c>
      <c r="G20">
        <v>4</v>
      </c>
      <c r="H20">
        <v>42</v>
      </c>
      <c r="I20">
        <v>42</v>
      </c>
      <c r="J20">
        <v>88</v>
      </c>
      <c r="K20">
        <v>188</v>
      </c>
      <c r="L20">
        <v>204</v>
      </c>
      <c r="M20">
        <v>79</v>
      </c>
      <c r="N20">
        <v>86</v>
      </c>
      <c r="O20">
        <v>7.6</v>
      </c>
      <c r="P20">
        <v>132</v>
      </c>
      <c r="Q20">
        <v>97</v>
      </c>
      <c r="R20">
        <f t="shared" si="0"/>
        <v>4.93</v>
      </c>
      <c r="S20">
        <f t="shared" si="1"/>
        <v>6.73</v>
      </c>
      <c r="T20" s="2">
        <f t="shared" si="2"/>
        <v>6.57</v>
      </c>
      <c r="U20">
        <f t="shared" si="3"/>
        <v>63.4</v>
      </c>
      <c r="V20">
        <f t="shared" si="4"/>
        <v>24</v>
      </c>
    </row>
    <row r="21" spans="1:22" x14ac:dyDescent="0.3">
      <c r="A21">
        <v>20</v>
      </c>
      <c r="B21" t="s">
        <v>19</v>
      </c>
      <c r="C21">
        <v>14</v>
      </c>
      <c r="D21" t="s">
        <v>22</v>
      </c>
      <c r="E21">
        <v>7</v>
      </c>
      <c r="F21">
        <v>6</v>
      </c>
      <c r="G21">
        <v>4</v>
      </c>
      <c r="H21">
        <v>42</v>
      </c>
      <c r="I21">
        <v>65</v>
      </c>
      <c r="J21">
        <v>75</v>
      </c>
      <c r="K21">
        <v>284</v>
      </c>
      <c r="L21">
        <v>168</v>
      </c>
      <c r="M21">
        <v>82</v>
      </c>
      <c r="N21">
        <v>73</v>
      </c>
      <c r="O21">
        <v>8.6</v>
      </c>
      <c r="P21">
        <v>115</v>
      </c>
      <c r="Q21">
        <v>124</v>
      </c>
      <c r="R21">
        <f t="shared" si="0"/>
        <v>5.42</v>
      </c>
      <c r="S21">
        <f t="shared" si="1"/>
        <v>7.28</v>
      </c>
      <c r="T21" s="2">
        <f t="shared" si="2"/>
        <v>6.83</v>
      </c>
      <c r="U21">
        <f t="shared" si="3"/>
        <v>69.19</v>
      </c>
      <c r="V21">
        <f t="shared" si="4"/>
        <v>24</v>
      </c>
    </row>
    <row r="22" spans="1:22" x14ac:dyDescent="0.3">
      <c r="A22">
        <v>21</v>
      </c>
      <c r="B22" t="s">
        <v>19</v>
      </c>
      <c r="C22">
        <v>11</v>
      </c>
      <c r="D22" t="s">
        <v>22</v>
      </c>
      <c r="E22">
        <v>7</v>
      </c>
      <c r="F22">
        <v>6</v>
      </c>
      <c r="G22">
        <v>4</v>
      </c>
      <c r="H22">
        <v>55</v>
      </c>
      <c r="I22">
        <v>60</v>
      </c>
      <c r="J22">
        <v>63</v>
      </c>
      <c r="K22">
        <v>195</v>
      </c>
      <c r="L22">
        <v>223</v>
      </c>
      <c r="M22">
        <v>113</v>
      </c>
      <c r="N22">
        <v>95</v>
      </c>
      <c r="O22">
        <v>9.1999999999999993</v>
      </c>
      <c r="P22">
        <v>101</v>
      </c>
      <c r="Q22">
        <v>94</v>
      </c>
      <c r="R22">
        <f t="shared" si="0"/>
        <v>5.82</v>
      </c>
      <c r="S22">
        <f t="shared" si="1"/>
        <v>7.28</v>
      </c>
      <c r="T22" s="2">
        <f t="shared" si="2"/>
        <v>5.58</v>
      </c>
      <c r="U22">
        <f t="shared" si="3"/>
        <v>69.709999999999994</v>
      </c>
      <c r="V22">
        <f t="shared" si="4"/>
        <v>24</v>
      </c>
    </row>
    <row r="23" spans="1:22" x14ac:dyDescent="0.3">
      <c r="A23">
        <v>22</v>
      </c>
      <c r="B23" t="s">
        <v>21</v>
      </c>
      <c r="C23">
        <v>14</v>
      </c>
      <c r="D23" t="s">
        <v>22</v>
      </c>
      <c r="E23">
        <v>7</v>
      </c>
      <c r="F23">
        <v>6</v>
      </c>
      <c r="G23">
        <v>4</v>
      </c>
      <c r="H23">
        <v>39</v>
      </c>
      <c r="I23">
        <v>53</v>
      </c>
      <c r="J23">
        <v>65</v>
      </c>
      <c r="K23">
        <v>251</v>
      </c>
      <c r="L23">
        <v>238</v>
      </c>
      <c r="M23">
        <v>101</v>
      </c>
      <c r="N23">
        <v>97</v>
      </c>
      <c r="O23">
        <v>9.3000000000000007</v>
      </c>
      <c r="P23">
        <v>126</v>
      </c>
      <c r="Q23">
        <v>140</v>
      </c>
      <c r="R23">
        <f t="shared" si="0"/>
        <v>6.18</v>
      </c>
      <c r="S23">
        <f t="shared" si="1"/>
        <v>6.29</v>
      </c>
      <c r="T23" s="2">
        <f t="shared" si="2"/>
        <v>7.59</v>
      </c>
      <c r="U23">
        <f t="shared" si="3"/>
        <v>70.540000000000006</v>
      </c>
      <c r="V23">
        <f t="shared" si="4"/>
        <v>24</v>
      </c>
    </row>
    <row r="24" spans="1:22" x14ac:dyDescent="0.3">
      <c r="A24">
        <v>23</v>
      </c>
      <c r="B24" t="s">
        <v>21</v>
      </c>
      <c r="C24">
        <v>11</v>
      </c>
      <c r="D24" t="s">
        <v>22</v>
      </c>
      <c r="E24">
        <v>7</v>
      </c>
      <c r="F24">
        <v>6</v>
      </c>
      <c r="G24">
        <v>4</v>
      </c>
      <c r="H24">
        <v>37</v>
      </c>
      <c r="I24">
        <v>69</v>
      </c>
      <c r="J24">
        <v>84</v>
      </c>
      <c r="K24">
        <v>240</v>
      </c>
      <c r="L24">
        <v>162</v>
      </c>
      <c r="M24">
        <v>122</v>
      </c>
      <c r="N24">
        <v>85</v>
      </c>
      <c r="O24">
        <v>8.1999999999999993</v>
      </c>
      <c r="P24">
        <v>121</v>
      </c>
      <c r="Q24">
        <v>77</v>
      </c>
      <c r="R24">
        <f t="shared" si="0"/>
        <v>5.78</v>
      </c>
      <c r="S24">
        <f t="shared" si="1"/>
        <v>7.51</v>
      </c>
      <c r="T24" s="2">
        <f t="shared" si="2"/>
        <v>5.69</v>
      </c>
      <c r="U24">
        <f t="shared" si="3"/>
        <v>68.56</v>
      </c>
      <c r="V24">
        <f t="shared" si="4"/>
        <v>24</v>
      </c>
    </row>
    <row r="25" spans="1:22" x14ac:dyDescent="0.3">
      <c r="A25">
        <v>24</v>
      </c>
      <c r="B25" t="s">
        <v>21</v>
      </c>
      <c r="C25">
        <v>11</v>
      </c>
      <c r="D25" t="s">
        <v>22</v>
      </c>
      <c r="E25">
        <v>7</v>
      </c>
      <c r="F25">
        <v>6</v>
      </c>
      <c r="G25">
        <v>4</v>
      </c>
      <c r="H25">
        <v>47</v>
      </c>
      <c r="I25">
        <v>48</v>
      </c>
      <c r="J25">
        <v>89</v>
      </c>
      <c r="K25">
        <v>296</v>
      </c>
      <c r="L25">
        <v>193</v>
      </c>
      <c r="M25">
        <v>124</v>
      </c>
      <c r="N25">
        <v>92</v>
      </c>
      <c r="O25">
        <v>9.4</v>
      </c>
      <c r="P25">
        <v>141</v>
      </c>
      <c r="Q25">
        <v>132</v>
      </c>
      <c r="R25">
        <f t="shared" si="0"/>
        <v>6.55</v>
      </c>
      <c r="S25">
        <f t="shared" si="1"/>
        <v>7.26</v>
      </c>
      <c r="T25" s="2">
        <f t="shared" si="2"/>
        <v>7.81</v>
      </c>
      <c r="U25">
        <f t="shared" si="3"/>
        <v>75.58</v>
      </c>
      <c r="V25">
        <f t="shared" si="4"/>
        <v>24</v>
      </c>
    </row>
    <row r="26" spans="1:22" x14ac:dyDescent="0.3">
      <c r="A26">
        <v>25</v>
      </c>
      <c r="B26" t="s">
        <v>21</v>
      </c>
      <c r="C26">
        <v>13</v>
      </c>
      <c r="D26" t="s">
        <v>22</v>
      </c>
      <c r="E26">
        <v>7</v>
      </c>
      <c r="F26">
        <v>6</v>
      </c>
      <c r="G26">
        <v>4</v>
      </c>
      <c r="H26">
        <v>41</v>
      </c>
      <c r="I26">
        <v>70</v>
      </c>
      <c r="J26">
        <v>61</v>
      </c>
      <c r="K26">
        <v>318</v>
      </c>
      <c r="L26">
        <v>135</v>
      </c>
      <c r="M26">
        <v>110</v>
      </c>
      <c r="N26">
        <v>71</v>
      </c>
      <c r="O26">
        <v>7.1</v>
      </c>
      <c r="P26">
        <v>131</v>
      </c>
      <c r="Q26">
        <v>134</v>
      </c>
      <c r="R26">
        <f t="shared" si="0"/>
        <v>5.91</v>
      </c>
      <c r="S26">
        <f t="shared" si="1"/>
        <v>6.98</v>
      </c>
      <c r="T26" s="2">
        <f t="shared" si="2"/>
        <v>7.57</v>
      </c>
      <c r="U26">
        <f t="shared" si="3"/>
        <v>67.72</v>
      </c>
      <c r="V26">
        <f t="shared" si="4"/>
        <v>24</v>
      </c>
    </row>
    <row r="27" spans="1:22" x14ac:dyDescent="0.3">
      <c r="A27">
        <v>26</v>
      </c>
      <c r="B27" t="s">
        <v>19</v>
      </c>
      <c r="C27">
        <v>12</v>
      </c>
      <c r="D27" t="s">
        <v>22</v>
      </c>
      <c r="E27">
        <v>7</v>
      </c>
      <c r="F27">
        <v>6</v>
      </c>
      <c r="G27">
        <v>4</v>
      </c>
      <c r="H27">
        <v>36</v>
      </c>
      <c r="I27">
        <v>70</v>
      </c>
      <c r="J27">
        <v>76</v>
      </c>
      <c r="K27">
        <v>200</v>
      </c>
      <c r="L27">
        <v>167</v>
      </c>
      <c r="M27">
        <v>78</v>
      </c>
      <c r="N27">
        <v>89</v>
      </c>
      <c r="O27">
        <v>7.2</v>
      </c>
      <c r="P27">
        <v>100</v>
      </c>
      <c r="Q27">
        <v>121</v>
      </c>
      <c r="R27">
        <f t="shared" si="0"/>
        <v>4.66</v>
      </c>
      <c r="S27">
        <f t="shared" si="1"/>
        <v>7.24</v>
      </c>
      <c r="T27" s="2">
        <f t="shared" si="2"/>
        <v>6.3</v>
      </c>
      <c r="U27">
        <f t="shared" si="3"/>
        <v>63.17</v>
      </c>
      <c r="V27">
        <f t="shared" si="4"/>
        <v>24</v>
      </c>
    </row>
    <row r="28" spans="1:22" x14ac:dyDescent="0.3">
      <c r="A28">
        <v>27</v>
      </c>
      <c r="B28" t="s">
        <v>21</v>
      </c>
      <c r="C28">
        <v>12</v>
      </c>
      <c r="D28" t="s">
        <v>22</v>
      </c>
      <c r="E28">
        <v>7</v>
      </c>
      <c r="F28">
        <v>6</v>
      </c>
      <c r="G28">
        <v>4</v>
      </c>
      <c r="H28">
        <v>53</v>
      </c>
      <c r="I28">
        <v>59</v>
      </c>
      <c r="J28">
        <v>61</v>
      </c>
      <c r="K28">
        <v>200</v>
      </c>
      <c r="L28">
        <v>227</v>
      </c>
      <c r="M28">
        <v>136</v>
      </c>
      <c r="N28">
        <v>80</v>
      </c>
      <c r="O28">
        <v>9.3000000000000007</v>
      </c>
      <c r="P28">
        <v>96</v>
      </c>
      <c r="Q28">
        <v>110</v>
      </c>
      <c r="R28">
        <f t="shared" si="0"/>
        <v>6.34</v>
      </c>
      <c r="S28">
        <f t="shared" si="1"/>
        <v>7.08</v>
      </c>
      <c r="T28" s="2">
        <f t="shared" si="2"/>
        <v>5.88</v>
      </c>
      <c r="U28">
        <f t="shared" si="3"/>
        <v>71.22</v>
      </c>
      <c r="V28">
        <f t="shared" si="4"/>
        <v>24</v>
      </c>
    </row>
    <row r="29" spans="1:22" x14ac:dyDescent="0.3">
      <c r="A29">
        <v>28</v>
      </c>
      <c r="B29" t="s">
        <v>21</v>
      </c>
      <c r="C29">
        <v>14</v>
      </c>
      <c r="D29" t="s">
        <v>22</v>
      </c>
      <c r="E29">
        <v>7</v>
      </c>
      <c r="F29">
        <v>6</v>
      </c>
      <c r="G29">
        <v>4</v>
      </c>
      <c r="H29">
        <v>39</v>
      </c>
      <c r="I29">
        <v>61</v>
      </c>
      <c r="J29">
        <v>80</v>
      </c>
      <c r="K29">
        <v>256</v>
      </c>
      <c r="L29">
        <v>237</v>
      </c>
      <c r="M29">
        <v>110</v>
      </c>
      <c r="N29">
        <v>99</v>
      </c>
      <c r="O29">
        <v>8.9</v>
      </c>
      <c r="P29">
        <v>79</v>
      </c>
      <c r="Q29">
        <v>71</v>
      </c>
      <c r="R29">
        <f t="shared" si="0"/>
        <v>6.38</v>
      </c>
      <c r="S29">
        <f t="shared" si="1"/>
        <v>7.13</v>
      </c>
      <c r="T29" s="2">
        <f t="shared" si="2"/>
        <v>4.29</v>
      </c>
      <c r="U29">
        <f t="shared" si="3"/>
        <v>68.33</v>
      </c>
      <c r="V29">
        <f t="shared" si="4"/>
        <v>24</v>
      </c>
    </row>
    <row r="30" spans="1:22" x14ac:dyDescent="0.3">
      <c r="A30">
        <v>29</v>
      </c>
      <c r="B30" t="s">
        <v>19</v>
      </c>
      <c r="C30">
        <v>10</v>
      </c>
      <c r="D30" t="s">
        <v>23</v>
      </c>
      <c r="E30">
        <v>3</v>
      </c>
      <c r="F30">
        <v>3</v>
      </c>
      <c r="G30">
        <v>3</v>
      </c>
      <c r="H30">
        <v>18</v>
      </c>
      <c r="I30">
        <v>20</v>
      </c>
      <c r="J30">
        <v>52</v>
      </c>
      <c r="K30">
        <v>87</v>
      </c>
      <c r="L30">
        <v>104</v>
      </c>
      <c r="M30">
        <v>46</v>
      </c>
      <c r="N30">
        <v>48</v>
      </c>
      <c r="O30">
        <v>8.3000000000000007</v>
      </c>
      <c r="P30">
        <v>76</v>
      </c>
      <c r="Q30">
        <v>24</v>
      </c>
      <c r="R30">
        <f t="shared" si="0"/>
        <v>2.5499999999999998</v>
      </c>
      <c r="S30">
        <f t="shared" si="1"/>
        <v>3.45</v>
      </c>
      <c r="T30" s="2">
        <f t="shared" si="2"/>
        <v>2.89</v>
      </c>
      <c r="U30">
        <f t="shared" si="3"/>
        <v>40.659999999999997</v>
      </c>
      <c r="V30">
        <f t="shared" si="4"/>
        <v>9</v>
      </c>
    </row>
    <row r="31" spans="1:22" x14ac:dyDescent="0.3">
      <c r="A31">
        <v>30</v>
      </c>
      <c r="B31" t="s">
        <v>19</v>
      </c>
      <c r="C31">
        <v>8</v>
      </c>
      <c r="D31" t="s">
        <v>23</v>
      </c>
      <c r="E31">
        <v>3</v>
      </c>
      <c r="F31">
        <v>3</v>
      </c>
      <c r="G31">
        <v>3</v>
      </c>
      <c r="H31">
        <v>24</v>
      </c>
      <c r="I31">
        <v>23</v>
      </c>
      <c r="J31">
        <v>49</v>
      </c>
      <c r="K31">
        <v>166</v>
      </c>
      <c r="L31">
        <v>109</v>
      </c>
      <c r="M31">
        <v>75</v>
      </c>
      <c r="N31">
        <v>59</v>
      </c>
      <c r="O31">
        <v>7.1</v>
      </c>
      <c r="P31">
        <v>71</v>
      </c>
      <c r="Q31">
        <v>61</v>
      </c>
      <c r="R31">
        <f t="shared" si="0"/>
        <v>3.79</v>
      </c>
      <c r="S31">
        <f t="shared" si="1"/>
        <v>3.76</v>
      </c>
      <c r="T31" s="2">
        <f t="shared" si="2"/>
        <v>3.78</v>
      </c>
      <c r="U31">
        <f t="shared" si="3"/>
        <v>44.4</v>
      </c>
      <c r="V31">
        <f t="shared" si="4"/>
        <v>9</v>
      </c>
    </row>
    <row r="32" spans="1:22" x14ac:dyDescent="0.3">
      <c r="A32">
        <v>31</v>
      </c>
      <c r="B32" t="s">
        <v>19</v>
      </c>
      <c r="C32">
        <v>10</v>
      </c>
      <c r="D32" t="s">
        <v>23</v>
      </c>
      <c r="E32">
        <v>3</v>
      </c>
      <c r="F32">
        <v>3</v>
      </c>
      <c r="G32">
        <v>3</v>
      </c>
      <c r="H32">
        <v>24</v>
      </c>
      <c r="I32">
        <v>39</v>
      </c>
      <c r="J32">
        <v>38</v>
      </c>
      <c r="K32">
        <v>180</v>
      </c>
      <c r="L32">
        <v>152</v>
      </c>
      <c r="M32">
        <v>38</v>
      </c>
      <c r="N32">
        <v>56</v>
      </c>
      <c r="O32">
        <v>5.4</v>
      </c>
      <c r="P32">
        <v>26</v>
      </c>
      <c r="Q32">
        <v>67</v>
      </c>
      <c r="R32">
        <f t="shared" si="0"/>
        <v>3.59</v>
      </c>
      <c r="S32">
        <f t="shared" si="1"/>
        <v>4.08</v>
      </c>
      <c r="T32" s="2">
        <f t="shared" si="2"/>
        <v>2.63</v>
      </c>
      <c r="U32">
        <f t="shared" si="3"/>
        <v>39.799999999999997</v>
      </c>
      <c r="V32">
        <f t="shared" si="4"/>
        <v>9</v>
      </c>
    </row>
    <row r="33" spans="1:22" x14ac:dyDescent="0.3">
      <c r="A33">
        <v>32</v>
      </c>
      <c r="B33" t="s">
        <v>19</v>
      </c>
      <c r="C33">
        <v>8</v>
      </c>
      <c r="D33" t="s">
        <v>23</v>
      </c>
      <c r="E33">
        <v>3</v>
      </c>
      <c r="F33">
        <v>3</v>
      </c>
      <c r="G33">
        <v>3</v>
      </c>
      <c r="H33">
        <v>24</v>
      </c>
      <c r="I33">
        <v>37</v>
      </c>
      <c r="J33">
        <v>41</v>
      </c>
      <c r="K33">
        <v>151</v>
      </c>
      <c r="L33">
        <v>83</v>
      </c>
      <c r="M33">
        <v>43</v>
      </c>
      <c r="N33">
        <v>80</v>
      </c>
      <c r="O33">
        <v>8</v>
      </c>
      <c r="P33">
        <v>52</v>
      </c>
      <c r="Q33">
        <v>51</v>
      </c>
      <c r="R33">
        <f t="shared" si="0"/>
        <v>2.81</v>
      </c>
      <c r="S33">
        <f t="shared" si="1"/>
        <v>4.09</v>
      </c>
      <c r="T33" s="2">
        <f t="shared" si="2"/>
        <v>2.95</v>
      </c>
      <c r="U33">
        <f t="shared" si="3"/>
        <v>43.17</v>
      </c>
      <c r="V33">
        <f t="shared" si="4"/>
        <v>9</v>
      </c>
    </row>
    <row r="34" spans="1:22" x14ac:dyDescent="0.3">
      <c r="A34">
        <v>33</v>
      </c>
      <c r="B34" t="s">
        <v>21</v>
      </c>
      <c r="C34">
        <v>6</v>
      </c>
      <c r="D34" t="s">
        <v>23</v>
      </c>
      <c r="E34">
        <v>3</v>
      </c>
      <c r="F34">
        <v>3</v>
      </c>
      <c r="G34">
        <v>3</v>
      </c>
      <c r="H34">
        <v>17</v>
      </c>
      <c r="I34">
        <v>38</v>
      </c>
      <c r="J34">
        <v>48</v>
      </c>
      <c r="K34">
        <v>166</v>
      </c>
      <c r="L34">
        <v>75</v>
      </c>
      <c r="M34">
        <v>32</v>
      </c>
      <c r="N34">
        <v>40</v>
      </c>
      <c r="O34">
        <v>6.2</v>
      </c>
      <c r="P34">
        <v>28</v>
      </c>
      <c r="Q34">
        <v>60</v>
      </c>
      <c r="R34">
        <f t="shared" si="0"/>
        <v>2.64</v>
      </c>
      <c r="S34">
        <f t="shared" si="1"/>
        <v>4.03</v>
      </c>
      <c r="T34" s="2">
        <f t="shared" si="2"/>
        <v>2.4900000000000002</v>
      </c>
      <c r="U34">
        <f t="shared" si="3"/>
        <v>38.159999999999997</v>
      </c>
      <c r="V34">
        <f t="shared" si="4"/>
        <v>9</v>
      </c>
    </row>
    <row r="35" spans="1:22" x14ac:dyDescent="0.3">
      <c r="A35">
        <v>34</v>
      </c>
      <c r="B35" t="s">
        <v>19</v>
      </c>
      <c r="C35">
        <v>7</v>
      </c>
      <c r="D35" t="s">
        <v>23</v>
      </c>
      <c r="E35">
        <v>3</v>
      </c>
      <c r="F35">
        <v>3</v>
      </c>
      <c r="G35">
        <v>3</v>
      </c>
      <c r="H35">
        <v>29</v>
      </c>
      <c r="I35">
        <v>35</v>
      </c>
      <c r="J35">
        <v>57</v>
      </c>
      <c r="K35">
        <v>114</v>
      </c>
      <c r="L35">
        <v>111</v>
      </c>
      <c r="M35">
        <v>30</v>
      </c>
      <c r="N35">
        <v>47</v>
      </c>
      <c r="O35">
        <v>5.3</v>
      </c>
      <c r="P35">
        <v>76</v>
      </c>
      <c r="Q35">
        <v>64</v>
      </c>
      <c r="R35">
        <f t="shared" si="0"/>
        <v>2.5299999999999998</v>
      </c>
      <c r="S35">
        <f t="shared" si="1"/>
        <v>4.78</v>
      </c>
      <c r="T35" s="2">
        <f t="shared" si="2"/>
        <v>4.01</v>
      </c>
      <c r="U35">
        <f t="shared" si="3"/>
        <v>40.94</v>
      </c>
      <c r="V35">
        <f t="shared" si="4"/>
        <v>9</v>
      </c>
    </row>
    <row r="36" spans="1:22" x14ac:dyDescent="0.3">
      <c r="A36">
        <v>35</v>
      </c>
      <c r="B36" t="s">
        <v>19</v>
      </c>
      <c r="C36">
        <v>10</v>
      </c>
      <c r="D36" t="s">
        <v>23</v>
      </c>
      <c r="E36">
        <v>3</v>
      </c>
      <c r="F36">
        <v>3</v>
      </c>
      <c r="G36">
        <v>3</v>
      </c>
      <c r="H36">
        <v>16</v>
      </c>
      <c r="I36">
        <v>29</v>
      </c>
      <c r="J36">
        <v>53</v>
      </c>
      <c r="K36">
        <v>130</v>
      </c>
      <c r="L36">
        <v>58</v>
      </c>
      <c r="M36">
        <v>57</v>
      </c>
      <c r="N36">
        <v>48</v>
      </c>
      <c r="O36">
        <v>5.0999999999999996</v>
      </c>
      <c r="P36">
        <v>43</v>
      </c>
      <c r="Q36">
        <v>77</v>
      </c>
      <c r="R36">
        <f t="shared" si="0"/>
        <v>2.67</v>
      </c>
      <c r="S36">
        <f t="shared" si="1"/>
        <v>3.77</v>
      </c>
      <c r="T36" s="2">
        <f t="shared" si="2"/>
        <v>3.41</v>
      </c>
      <c r="U36">
        <f t="shared" si="3"/>
        <v>36.520000000000003</v>
      </c>
      <c r="V36">
        <f t="shared" si="4"/>
        <v>9</v>
      </c>
    </row>
    <row r="37" spans="1:22" x14ac:dyDescent="0.3">
      <c r="A37">
        <v>36</v>
      </c>
      <c r="B37" t="s">
        <v>19</v>
      </c>
      <c r="C37">
        <v>6</v>
      </c>
      <c r="D37" t="s">
        <v>23</v>
      </c>
      <c r="E37">
        <v>3</v>
      </c>
      <c r="F37">
        <v>3</v>
      </c>
      <c r="G37">
        <v>3</v>
      </c>
      <c r="H37">
        <v>26</v>
      </c>
      <c r="I37">
        <v>24</v>
      </c>
      <c r="J37">
        <v>56</v>
      </c>
      <c r="K37">
        <v>91</v>
      </c>
      <c r="L37">
        <v>125</v>
      </c>
      <c r="M37">
        <v>36</v>
      </c>
      <c r="N37">
        <v>62</v>
      </c>
      <c r="O37">
        <v>7.7</v>
      </c>
      <c r="P37">
        <v>76</v>
      </c>
      <c r="Q37">
        <v>75</v>
      </c>
      <c r="R37">
        <f t="shared" si="0"/>
        <v>2.59</v>
      </c>
      <c r="S37">
        <f t="shared" si="1"/>
        <v>4.13</v>
      </c>
      <c r="T37" s="2">
        <f t="shared" si="2"/>
        <v>4.32</v>
      </c>
      <c r="U37">
        <f t="shared" si="3"/>
        <v>44.11</v>
      </c>
      <c r="V37">
        <f t="shared" si="4"/>
        <v>9</v>
      </c>
    </row>
    <row r="38" spans="1:22" x14ac:dyDescent="0.3">
      <c r="A38">
        <v>37</v>
      </c>
      <c r="B38" t="s">
        <v>19</v>
      </c>
      <c r="C38">
        <v>10</v>
      </c>
      <c r="D38" t="s">
        <v>23</v>
      </c>
      <c r="E38">
        <v>3</v>
      </c>
      <c r="F38">
        <v>3</v>
      </c>
      <c r="G38">
        <v>3</v>
      </c>
      <c r="H38">
        <v>19</v>
      </c>
      <c r="I38">
        <v>25</v>
      </c>
      <c r="J38">
        <v>62</v>
      </c>
      <c r="K38">
        <v>80</v>
      </c>
      <c r="L38">
        <v>142</v>
      </c>
      <c r="M38">
        <v>81</v>
      </c>
      <c r="N38">
        <v>51</v>
      </c>
      <c r="O38">
        <v>8.1</v>
      </c>
      <c r="P38">
        <v>21</v>
      </c>
      <c r="Q38">
        <v>31</v>
      </c>
      <c r="R38">
        <f t="shared" si="0"/>
        <v>3.53</v>
      </c>
      <c r="S38">
        <f t="shared" si="1"/>
        <v>4.04</v>
      </c>
      <c r="T38" s="2">
        <f t="shared" si="2"/>
        <v>1.48</v>
      </c>
      <c r="U38">
        <f t="shared" si="3"/>
        <v>43.15</v>
      </c>
      <c r="V38">
        <f t="shared" si="4"/>
        <v>9</v>
      </c>
    </row>
    <row r="39" spans="1:22" x14ac:dyDescent="0.3">
      <c r="A39">
        <v>38</v>
      </c>
      <c r="B39" t="s">
        <v>19</v>
      </c>
      <c r="C39">
        <v>8</v>
      </c>
      <c r="D39" t="s">
        <v>23</v>
      </c>
      <c r="E39">
        <v>3</v>
      </c>
      <c r="F39">
        <v>3</v>
      </c>
      <c r="G39">
        <v>3</v>
      </c>
      <c r="H39">
        <v>28</v>
      </c>
      <c r="I39">
        <v>39</v>
      </c>
      <c r="J39">
        <v>62</v>
      </c>
      <c r="K39">
        <v>154</v>
      </c>
      <c r="L39">
        <v>143</v>
      </c>
      <c r="M39">
        <v>45</v>
      </c>
      <c r="N39">
        <v>57</v>
      </c>
      <c r="O39">
        <v>5.6</v>
      </c>
      <c r="P39">
        <v>64</v>
      </c>
      <c r="Q39">
        <v>26</v>
      </c>
      <c r="R39">
        <f t="shared" si="0"/>
        <v>3.44</v>
      </c>
      <c r="S39">
        <f t="shared" si="1"/>
        <v>5.07</v>
      </c>
      <c r="T39" s="2">
        <f t="shared" si="2"/>
        <v>2.6</v>
      </c>
      <c r="U39">
        <f t="shared" si="3"/>
        <v>43.17</v>
      </c>
      <c r="V39">
        <f t="shared" si="4"/>
        <v>9</v>
      </c>
    </row>
    <row r="40" spans="1:22" x14ac:dyDescent="0.3">
      <c r="A40">
        <v>39</v>
      </c>
      <c r="B40" t="s">
        <v>19</v>
      </c>
      <c r="C40">
        <v>6</v>
      </c>
      <c r="D40" t="s">
        <v>23</v>
      </c>
      <c r="E40">
        <v>3</v>
      </c>
      <c r="F40">
        <v>3</v>
      </c>
      <c r="G40">
        <v>3</v>
      </c>
      <c r="H40">
        <v>30</v>
      </c>
      <c r="I40">
        <v>25</v>
      </c>
      <c r="J40">
        <v>41</v>
      </c>
      <c r="K40">
        <v>164</v>
      </c>
      <c r="L40">
        <v>157</v>
      </c>
      <c r="M40">
        <v>59</v>
      </c>
      <c r="N40">
        <v>62</v>
      </c>
      <c r="O40">
        <v>6.1</v>
      </c>
      <c r="P40">
        <v>70</v>
      </c>
      <c r="Q40">
        <v>75</v>
      </c>
      <c r="R40">
        <f t="shared" si="0"/>
        <v>3.92</v>
      </c>
      <c r="S40">
        <f t="shared" si="1"/>
        <v>3.86</v>
      </c>
      <c r="T40" s="2">
        <f t="shared" si="2"/>
        <v>4.1399999999999997</v>
      </c>
      <c r="U40">
        <f t="shared" si="3"/>
        <v>43.68</v>
      </c>
      <c r="V40">
        <f t="shared" si="4"/>
        <v>9</v>
      </c>
    </row>
    <row r="41" spans="1:22" x14ac:dyDescent="0.3">
      <c r="A41">
        <v>40</v>
      </c>
      <c r="B41" t="s">
        <v>21</v>
      </c>
      <c r="C41">
        <v>6</v>
      </c>
      <c r="D41" t="s">
        <v>23</v>
      </c>
      <c r="E41">
        <v>3</v>
      </c>
      <c r="F41">
        <v>3</v>
      </c>
      <c r="G41">
        <v>3</v>
      </c>
      <c r="H41">
        <v>21</v>
      </c>
      <c r="I41">
        <v>30</v>
      </c>
      <c r="J41">
        <v>45</v>
      </c>
      <c r="K41">
        <v>95</v>
      </c>
      <c r="L41">
        <v>150</v>
      </c>
      <c r="M41">
        <v>34</v>
      </c>
      <c r="N41">
        <v>57</v>
      </c>
      <c r="O41">
        <v>6.2</v>
      </c>
      <c r="P41">
        <v>52</v>
      </c>
      <c r="Q41">
        <v>45</v>
      </c>
      <c r="R41">
        <f t="shared" si="0"/>
        <v>2.82</v>
      </c>
      <c r="S41">
        <f t="shared" si="1"/>
        <v>3.78</v>
      </c>
      <c r="T41" s="2">
        <f t="shared" si="2"/>
        <v>2.78</v>
      </c>
      <c r="U41">
        <f t="shared" si="3"/>
        <v>38.26</v>
      </c>
      <c r="V41">
        <f t="shared" si="4"/>
        <v>9</v>
      </c>
    </row>
    <row r="42" spans="1:22" x14ac:dyDescent="0.3">
      <c r="A42">
        <v>41</v>
      </c>
      <c r="B42" t="s">
        <v>19</v>
      </c>
      <c r="C42">
        <v>10</v>
      </c>
      <c r="D42" t="s">
        <v>23</v>
      </c>
      <c r="E42">
        <v>3</v>
      </c>
      <c r="F42">
        <v>3</v>
      </c>
      <c r="G42">
        <v>3</v>
      </c>
      <c r="H42">
        <v>25</v>
      </c>
      <c r="I42">
        <v>18</v>
      </c>
      <c r="J42">
        <v>38</v>
      </c>
      <c r="K42">
        <v>172</v>
      </c>
      <c r="L42">
        <v>73</v>
      </c>
      <c r="M42">
        <v>41</v>
      </c>
      <c r="N42">
        <v>77</v>
      </c>
      <c r="O42">
        <v>8.4</v>
      </c>
      <c r="P42">
        <v>36</v>
      </c>
      <c r="Q42">
        <v>22</v>
      </c>
      <c r="R42">
        <f t="shared" si="0"/>
        <v>2.84</v>
      </c>
      <c r="S42">
        <f t="shared" si="1"/>
        <v>3.23</v>
      </c>
      <c r="T42" s="2">
        <f t="shared" si="2"/>
        <v>1.67</v>
      </c>
      <c r="U42">
        <f t="shared" si="3"/>
        <v>39.130000000000003</v>
      </c>
      <c r="V42">
        <f t="shared" si="4"/>
        <v>9</v>
      </c>
    </row>
    <row r="43" spans="1:22" x14ac:dyDescent="0.3">
      <c r="A43">
        <v>42</v>
      </c>
      <c r="B43" t="s">
        <v>21</v>
      </c>
      <c r="C43">
        <v>9</v>
      </c>
      <c r="D43" t="s">
        <v>23</v>
      </c>
      <c r="E43">
        <v>3</v>
      </c>
      <c r="F43">
        <v>3</v>
      </c>
      <c r="G43">
        <v>3</v>
      </c>
      <c r="H43">
        <v>26</v>
      </c>
      <c r="I43">
        <v>28</v>
      </c>
      <c r="J43">
        <v>48</v>
      </c>
      <c r="K43">
        <v>137</v>
      </c>
      <c r="L43">
        <v>105</v>
      </c>
      <c r="M43">
        <v>37</v>
      </c>
      <c r="N43">
        <v>64</v>
      </c>
      <c r="O43">
        <v>8.1</v>
      </c>
      <c r="P43">
        <v>32</v>
      </c>
      <c r="Q43">
        <v>36</v>
      </c>
      <c r="R43">
        <f t="shared" si="0"/>
        <v>2.79</v>
      </c>
      <c r="S43">
        <f t="shared" si="1"/>
        <v>4.03</v>
      </c>
      <c r="T43" s="2">
        <f t="shared" si="2"/>
        <v>1.94</v>
      </c>
      <c r="U43">
        <f t="shared" si="3"/>
        <v>41.59</v>
      </c>
      <c r="V43">
        <f t="shared" si="4"/>
        <v>9</v>
      </c>
    </row>
    <row r="44" spans="1:22" x14ac:dyDescent="0.3">
      <c r="A44">
        <v>43</v>
      </c>
      <c r="B44" t="s">
        <v>21</v>
      </c>
      <c r="C44">
        <v>9</v>
      </c>
      <c r="D44" t="s">
        <v>23</v>
      </c>
      <c r="E44">
        <v>3</v>
      </c>
      <c r="F44">
        <v>3</v>
      </c>
      <c r="G44">
        <v>3</v>
      </c>
      <c r="H44">
        <v>15</v>
      </c>
      <c r="I44">
        <v>34</v>
      </c>
      <c r="J44">
        <v>64</v>
      </c>
      <c r="K44">
        <v>163</v>
      </c>
      <c r="L44">
        <v>108</v>
      </c>
      <c r="M44">
        <v>73</v>
      </c>
      <c r="N44">
        <v>52</v>
      </c>
      <c r="O44">
        <v>6.3</v>
      </c>
      <c r="P44">
        <v>24</v>
      </c>
      <c r="Q44">
        <v>80</v>
      </c>
      <c r="R44">
        <f t="shared" si="0"/>
        <v>3.72</v>
      </c>
      <c r="S44">
        <f t="shared" si="1"/>
        <v>4.3</v>
      </c>
      <c r="T44" s="2">
        <f t="shared" si="2"/>
        <v>2.94</v>
      </c>
      <c r="U44">
        <f t="shared" si="3"/>
        <v>43.22</v>
      </c>
      <c r="V44">
        <f t="shared" si="4"/>
        <v>9</v>
      </c>
    </row>
    <row r="45" spans="1:22" x14ac:dyDescent="0.3">
      <c r="A45">
        <v>44</v>
      </c>
      <c r="B45" t="s">
        <v>19</v>
      </c>
      <c r="C45">
        <v>8</v>
      </c>
      <c r="D45" t="s">
        <v>23</v>
      </c>
      <c r="E45">
        <v>3</v>
      </c>
      <c r="F45">
        <v>3</v>
      </c>
      <c r="G45">
        <v>3</v>
      </c>
      <c r="H45">
        <v>34</v>
      </c>
      <c r="I45">
        <v>28</v>
      </c>
      <c r="J45">
        <v>56</v>
      </c>
      <c r="K45">
        <v>168</v>
      </c>
      <c r="L45">
        <v>55</v>
      </c>
      <c r="M45">
        <v>76</v>
      </c>
      <c r="N45">
        <v>59</v>
      </c>
      <c r="O45">
        <v>6.8</v>
      </c>
      <c r="P45">
        <v>62</v>
      </c>
      <c r="Q45">
        <v>46</v>
      </c>
      <c r="R45">
        <f t="shared" si="0"/>
        <v>3.31</v>
      </c>
      <c r="S45">
        <f t="shared" si="1"/>
        <v>4.68</v>
      </c>
      <c r="T45" s="2">
        <f t="shared" si="2"/>
        <v>3.1</v>
      </c>
      <c r="U45">
        <f t="shared" si="3"/>
        <v>44.56</v>
      </c>
      <c r="V45">
        <f t="shared" si="4"/>
        <v>9</v>
      </c>
    </row>
    <row r="46" spans="1:22" x14ac:dyDescent="0.3">
      <c r="A46">
        <v>45</v>
      </c>
      <c r="B46" t="s">
        <v>19</v>
      </c>
      <c r="C46">
        <v>8</v>
      </c>
      <c r="D46" t="s">
        <v>23</v>
      </c>
      <c r="E46">
        <v>3</v>
      </c>
      <c r="F46">
        <v>3</v>
      </c>
      <c r="G46">
        <v>3</v>
      </c>
      <c r="H46">
        <v>32</v>
      </c>
      <c r="I46">
        <v>22</v>
      </c>
      <c r="J46">
        <v>41</v>
      </c>
      <c r="K46">
        <v>113</v>
      </c>
      <c r="L46">
        <v>125</v>
      </c>
      <c r="M46">
        <v>90</v>
      </c>
      <c r="N46">
        <v>64</v>
      </c>
      <c r="O46">
        <v>7.4</v>
      </c>
      <c r="P46">
        <v>77</v>
      </c>
      <c r="Q46">
        <v>31</v>
      </c>
      <c r="R46">
        <f t="shared" si="0"/>
        <v>3.8</v>
      </c>
      <c r="S46">
        <f t="shared" si="1"/>
        <v>3.83</v>
      </c>
      <c r="T46" s="2">
        <f t="shared" si="2"/>
        <v>3.12</v>
      </c>
      <c r="U46">
        <f t="shared" si="3"/>
        <v>44.29</v>
      </c>
      <c r="V46">
        <f t="shared" si="4"/>
        <v>9</v>
      </c>
    </row>
    <row r="47" spans="1:22" x14ac:dyDescent="0.3">
      <c r="A47">
        <v>46</v>
      </c>
      <c r="B47" t="s">
        <v>19</v>
      </c>
      <c r="C47">
        <v>8</v>
      </c>
      <c r="D47" t="s">
        <v>23</v>
      </c>
      <c r="E47">
        <v>3</v>
      </c>
      <c r="F47">
        <v>3</v>
      </c>
      <c r="G47">
        <v>3</v>
      </c>
      <c r="H47">
        <v>27</v>
      </c>
      <c r="I47">
        <v>35</v>
      </c>
      <c r="J47">
        <v>61</v>
      </c>
      <c r="K47">
        <v>60</v>
      </c>
      <c r="L47">
        <v>78</v>
      </c>
      <c r="M47">
        <v>48</v>
      </c>
      <c r="N47">
        <v>53</v>
      </c>
      <c r="O47">
        <v>6.5</v>
      </c>
      <c r="P47">
        <v>57</v>
      </c>
      <c r="Q47">
        <v>58</v>
      </c>
      <c r="R47">
        <f t="shared" si="0"/>
        <v>2.13</v>
      </c>
      <c r="S47">
        <f t="shared" si="1"/>
        <v>4.8099999999999996</v>
      </c>
      <c r="T47" s="2">
        <f t="shared" si="2"/>
        <v>3.29</v>
      </c>
      <c r="U47">
        <f t="shared" si="3"/>
        <v>41.16</v>
      </c>
      <c r="V47">
        <f t="shared" si="4"/>
        <v>9</v>
      </c>
    </row>
    <row r="48" spans="1:22" x14ac:dyDescent="0.3">
      <c r="A48">
        <v>47</v>
      </c>
      <c r="B48" t="s">
        <v>19</v>
      </c>
      <c r="C48">
        <v>9</v>
      </c>
      <c r="D48" t="s">
        <v>23</v>
      </c>
      <c r="E48">
        <v>3</v>
      </c>
      <c r="F48">
        <v>3</v>
      </c>
      <c r="G48">
        <v>3</v>
      </c>
      <c r="H48">
        <v>29</v>
      </c>
      <c r="I48">
        <v>32</v>
      </c>
      <c r="J48">
        <v>56</v>
      </c>
      <c r="K48">
        <v>87</v>
      </c>
      <c r="L48">
        <v>105</v>
      </c>
      <c r="M48">
        <v>60</v>
      </c>
      <c r="N48">
        <v>50</v>
      </c>
      <c r="O48">
        <v>7.3</v>
      </c>
      <c r="P48">
        <v>38</v>
      </c>
      <c r="Q48">
        <v>52</v>
      </c>
      <c r="R48">
        <f t="shared" si="0"/>
        <v>2.83</v>
      </c>
      <c r="S48">
        <f t="shared" si="1"/>
        <v>4.62</v>
      </c>
      <c r="T48" s="2">
        <f t="shared" si="2"/>
        <v>2.56</v>
      </c>
      <c r="U48">
        <f t="shared" si="3"/>
        <v>43.1</v>
      </c>
      <c r="V48">
        <f t="shared" si="4"/>
        <v>9</v>
      </c>
    </row>
    <row r="49" spans="1:22" x14ac:dyDescent="0.3">
      <c r="A49">
        <v>48</v>
      </c>
      <c r="B49" t="s">
        <v>19</v>
      </c>
      <c r="C49">
        <v>10</v>
      </c>
      <c r="D49" t="s">
        <v>23</v>
      </c>
      <c r="E49">
        <v>3</v>
      </c>
      <c r="F49">
        <v>3</v>
      </c>
      <c r="G49">
        <v>3</v>
      </c>
      <c r="H49">
        <v>25</v>
      </c>
      <c r="I49">
        <v>20</v>
      </c>
      <c r="J49">
        <v>61</v>
      </c>
      <c r="K49">
        <v>156</v>
      </c>
      <c r="L49">
        <v>70</v>
      </c>
      <c r="M49">
        <v>73</v>
      </c>
      <c r="N49">
        <v>59</v>
      </c>
      <c r="O49">
        <v>5.8</v>
      </c>
      <c r="P49">
        <v>32</v>
      </c>
      <c r="Q49">
        <v>29</v>
      </c>
      <c r="R49">
        <f t="shared" si="0"/>
        <v>3.3</v>
      </c>
      <c r="S49">
        <f t="shared" si="1"/>
        <v>4.08</v>
      </c>
      <c r="T49" s="2">
        <f t="shared" si="2"/>
        <v>1.75</v>
      </c>
      <c r="U49">
        <f t="shared" si="3"/>
        <v>38.409999999999997</v>
      </c>
      <c r="V49">
        <f t="shared" si="4"/>
        <v>9</v>
      </c>
    </row>
    <row r="50" spans="1:22" x14ac:dyDescent="0.3">
      <c r="A50">
        <v>49</v>
      </c>
      <c r="B50" t="s">
        <v>21</v>
      </c>
      <c r="C50">
        <v>8</v>
      </c>
      <c r="D50" t="s">
        <v>24</v>
      </c>
      <c r="E50">
        <v>2</v>
      </c>
      <c r="F50">
        <v>3</v>
      </c>
      <c r="G50">
        <v>2</v>
      </c>
      <c r="H50">
        <v>32</v>
      </c>
      <c r="I50">
        <v>27</v>
      </c>
      <c r="J50">
        <v>40</v>
      </c>
      <c r="K50">
        <v>149</v>
      </c>
      <c r="L50">
        <v>123</v>
      </c>
      <c r="M50">
        <v>55</v>
      </c>
      <c r="N50">
        <v>59</v>
      </c>
      <c r="O50">
        <v>6.2</v>
      </c>
      <c r="P50">
        <v>35</v>
      </c>
      <c r="Q50">
        <v>29</v>
      </c>
      <c r="R50">
        <f t="shared" si="0"/>
        <v>3.4</v>
      </c>
      <c r="S50">
        <f t="shared" si="1"/>
        <v>4.01</v>
      </c>
      <c r="T50" s="2">
        <f t="shared" si="2"/>
        <v>1.83</v>
      </c>
      <c r="U50">
        <f t="shared" si="3"/>
        <v>39.380000000000003</v>
      </c>
      <c r="V50">
        <f t="shared" si="4"/>
        <v>6</v>
      </c>
    </row>
    <row r="51" spans="1:22" x14ac:dyDescent="0.3">
      <c r="A51">
        <v>50</v>
      </c>
      <c r="B51" t="s">
        <v>19</v>
      </c>
      <c r="C51">
        <v>7</v>
      </c>
      <c r="D51" t="s">
        <v>24</v>
      </c>
      <c r="E51">
        <v>2</v>
      </c>
      <c r="F51">
        <v>3</v>
      </c>
      <c r="G51">
        <v>2</v>
      </c>
      <c r="H51">
        <v>20</v>
      </c>
      <c r="I51">
        <v>30</v>
      </c>
      <c r="J51">
        <v>51</v>
      </c>
      <c r="K51">
        <v>134</v>
      </c>
      <c r="L51">
        <v>92</v>
      </c>
      <c r="M51">
        <v>72</v>
      </c>
      <c r="N51">
        <v>38</v>
      </c>
      <c r="O51">
        <v>6.5</v>
      </c>
      <c r="P51">
        <v>27</v>
      </c>
      <c r="Q51">
        <v>49</v>
      </c>
      <c r="R51">
        <f t="shared" si="0"/>
        <v>3.31</v>
      </c>
      <c r="S51">
        <f t="shared" si="1"/>
        <v>3.93</v>
      </c>
      <c r="T51" s="2">
        <f t="shared" si="2"/>
        <v>2.16</v>
      </c>
      <c r="U51">
        <f t="shared" si="3"/>
        <v>39.93</v>
      </c>
      <c r="V51">
        <f t="shared" si="4"/>
        <v>6</v>
      </c>
    </row>
    <row r="52" spans="1:22" x14ac:dyDescent="0.3">
      <c r="A52">
        <v>51</v>
      </c>
      <c r="B52" t="s">
        <v>21</v>
      </c>
      <c r="C52">
        <v>10</v>
      </c>
      <c r="D52" t="s">
        <v>24</v>
      </c>
      <c r="E52">
        <v>2</v>
      </c>
      <c r="F52">
        <v>3</v>
      </c>
      <c r="G52">
        <v>2</v>
      </c>
      <c r="H52">
        <v>33</v>
      </c>
      <c r="I52">
        <v>26</v>
      </c>
      <c r="J52">
        <v>57</v>
      </c>
      <c r="K52">
        <v>140</v>
      </c>
      <c r="L52">
        <v>166</v>
      </c>
      <c r="M52">
        <v>71</v>
      </c>
      <c r="N52">
        <v>67</v>
      </c>
      <c r="O52">
        <v>6</v>
      </c>
      <c r="P52">
        <v>55</v>
      </c>
      <c r="Q52">
        <v>48</v>
      </c>
      <c r="R52">
        <f t="shared" si="0"/>
        <v>4.04</v>
      </c>
      <c r="S52">
        <f t="shared" si="1"/>
        <v>4.58</v>
      </c>
      <c r="T52" s="2">
        <f t="shared" si="2"/>
        <v>2.95</v>
      </c>
      <c r="U52">
        <f t="shared" si="3"/>
        <v>44.58</v>
      </c>
      <c r="V52">
        <f t="shared" si="4"/>
        <v>6</v>
      </c>
    </row>
    <row r="53" spans="1:22" x14ac:dyDescent="0.3">
      <c r="A53">
        <v>52</v>
      </c>
      <c r="B53" t="s">
        <v>19</v>
      </c>
      <c r="C53">
        <v>10</v>
      </c>
      <c r="D53" t="s">
        <v>24</v>
      </c>
      <c r="E53">
        <v>2</v>
      </c>
      <c r="F53">
        <v>3</v>
      </c>
      <c r="G53">
        <v>2</v>
      </c>
      <c r="H53">
        <v>31</v>
      </c>
      <c r="I53">
        <v>22</v>
      </c>
      <c r="J53">
        <v>45</v>
      </c>
      <c r="K53">
        <v>137</v>
      </c>
      <c r="L53">
        <v>168</v>
      </c>
      <c r="M53">
        <v>74</v>
      </c>
      <c r="N53">
        <v>50</v>
      </c>
      <c r="O53">
        <v>5.5</v>
      </c>
      <c r="P53">
        <v>24</v>
      </c>
      <c r="Q53">
        <v>65</v>
      </c>
      <c r="R53">
        <f t="shared" si="0"/>
        <v>4.09</v>
      </c>
      <c r="S53">
        <f t="shared" si="1"/>
        <v>3.92</v>
      </c>
      <c r="T53" s="2">
        <f t="shared" si="2"/>
        <v>2.52</v>
      </c>
      <c r="U53">
        <f t="shared" si="3"/>
        <v>40.770000000000003</v>
      </c>
      <c r="V53">
        <f t="shared" si="4"/>
        <v>6</v>
      </c>
    </row>
    <row r="54" spans="1:22" x14ac:dyDescent="0.3">
      <c r="A54">
        <v>53</v>
      </c>
      <c r="B54" t="s">
        <v>19</v>
      </c>
      <c r="C54">
        <v>9</v>
      </c>
      <c r="D54" t="s">
        <v>24</v>
      </c>
      <c r="E54">
        <v>2</v>
      </c>
      <c r="F54">
        <v>3</v>
      </c>
      <c r="G54">
        <v>2</v>
      </c>
      <c r="H54">
        <v>27</v>
      </c>
      <c r="I54">
        <v>23</v>
      </c>
      <c r="J54">
        <v>55</v>
      </c>
      <c r="K54">
        <v>125</v>
      </c>
      <c r="L54">
        <v>87</v>
      </c>
      <c r="M54">
        <v>52</v>
      </c>
      <c r="N54">
        <v>49</v>
      </c>
      <c r="O54">
        <v>5.8</v>
      </c>
      <c r="P54">
        <v>29</v>
      </c>
      <c r="Q54">
        <v>65</v>
      </c>
      <c r="R54">
        <f t="shared" si="0"/>
        <v>2.81</v>
      </c>
      <c r="S54">
        <f t="shared" si="1"/>
        <v>4.0999999999999996</v>
      </c>
      <c r="T54" s="2">
        <f t="shared" si="2"/>
        <v>2.66</v>
      </c>
      <c r="U54">
        <f t="shared" si="3"/>
        <v>38.369999999999997</v>
      </c>
      <c r="V54">
        <f t="shared" si="4"/>
        <v>6</v>
      </c>
    </row>
    <row r="55" spans="1:22" x14ac:dyDescent="0.3">
      <c r="A55">
        <v>54</v>
      </c>
      <c r="B55" t="s">
        <v>21</v>
      </c>
      <c r="C55">
        <v>10</v>
      </c>
      <c r="D55" t="s">
        <v>24</v>
      </c>
      <c r="E55">
        <v>2</v>
      </c>
      <c r="F55">
        <v>3</v>
      </c>
      <c r="G55">
        <v>2</v>
      </c>
      <c r="H55">
        <v>30</v>
      </c>
      <c r="I55">
        <v>23</v>
      </c>
      <c r="J55">
        <v>55</v>
      </c>
      <c r="K55">
        <v>149</v>
      </c>
      <c r="L55">
        <v>123</v>
      </c>
      <c r="M55">
        <v>46</v>
      </c>
      <c r="N55">
        <v>48</v>
      </c>
      <c r="O55">
        <v>7.4</v>
      </c>
      <c r="P55">
        <v>44</v>
      </c>
      <c r="Q55">
        <v>69</v>
      </c>
      <c r="R55">
        <f t="shared" si="0"/>
        <v>3.23</v>
      </c>
      <c r="S55">
        <f t="shared" si="1"/>
        <v>4.24</v>
      </c>
      <c r="T55" s="2">
        <f t="shared" si="2"/>
        <v>3.21</v>
      </c>
      <c r="U55">
        <f t="shared" si="3"/>
        <v>44.15</v>
      </c>
      <c r="V55">
        <f t="shared" si="4"/>
        <v>6</v>
      </c>
    </row>
    <row r="56" spans="1:22" x14ac:dyDescent="0.3">
      <c r="A56">
        <v>55</v>
      </c>
      <c r="B56" t="s">
        <v>19</v>
      </c>
      <c r="C56">
        <v>7</v>
      </c>
      <c r="D56" t="s">
        <v>24</v>
      </c>
      <c r="E56">
        <v>2</v>
      </c>
      <c r="F56">
        <v>3</v>
      </c>
      <c r="G56">
        <v>2</v>
      </c>
      <c r="H56">
        <v>29</v>
      </c>
      <c r="I56">
        <v>25</v>
      </c>
      <c r="J56">
        <v>38</v>
      </c>
      <c r="K56">
        <v>142</v>
      </c>
      <c r="L56">
        <v>108</v>
      </c>
      <c r="M56">
        <v>67</v>
      </c>
      <c r="N56">
        <v>61</v>
      </c>
      <c r="O56">
        <v>6.4</v>
      </c>
      <c r="P56">
        <v>67</v>
      </c>
      <c r="Q56">
        <v>54</v>
      </c>
      <c r="R56">
        <f t="shared" si="0"/>
        <v>3.43</v>
      </c>
      <c r="S56">
        <f t="shared" si="1"/>
        <v>3.72</v>
      </c>
      <c r="T56" s="2">
        <f t="shared" si="2"/>
        <v>3.47</v>
      </c>
      <c r="U56">
        <f t="shared" si="3"/>
        <v>41.32</v>
      </c>
      <c r="V56">
        <f t="shared" si="4"/>
        <v>6</v>
      </c>
    </row>
    <row r="57" spans="1:22" x14ac:dyDescent="0.3">
      <c r="A57">
        <v>56</v>
      </c>
      <c r="B57" t="s">
        <v>19</v>
      </c>
      <c r="C57">
        <v>8</v>
      </c>
      <c r="D57" t="s">
        <v>25</v>
      </c>
      <c r="E57">
        <v>3</v>
      </c>
      <c r="F57">
        <v>4</v>
      </c>
      <c r="G57">
        <v>3</v>
      </c>
      <c r="H57">
        <v>40</v>
      </c>
      <c r="I57">
        <v>35</v>
      </c>
      <c r="J57">
        <v>53</v>
      </c>
      <c r="K57">
        <v>155</v>
      </c>
      <c r="L57">
        <v>142</v>
      </c>
      <c r="M57">
        <v>51</v>
      </c>
      <c r="N57">
        <v>74</v>
      </c>
      <c r="O57">
        <v>6.8</v>
      </c>
      <c r="P57">
        <v>83</v>
      </c>
      <c r="Q57">
        <v>65</v>
      </c>
      <c r="R57">
        <f t="shared" si="0"/>
        <v>3.55</v>
      </c>
      <c r="S57">
        <f t="shared" si="1"/>
        <v>5.17</v>
      </c>
      <c r="T57" s="2">
        <f t="shared" si="2"/>
        <v>4.24</v>
      </c>
      <c r="U57">
        <f t="shared" si="3"/>
        <v>48.71</v>
      </c>
      <c r="V57">
        <f t="shared" si="4"/>
        <v>12</v>
      </c>
    </row>
    <row r="58" spans="1:22" x14ac:dyDescent="0.3">
      <c r="A58">
        <v>57</v>
      </c>
      <c r="B58" t="s">
        <v>19</v>
      </c>
      <c r="C58">
        <v>9</v>
      </c>
      <c r="D58" t="s">
        <v>25</v>
      </c>
      <c r="E58">
        <v>3</v>
      </c>
      <c r="F58">
        <v>4</v>
      </c>
      <c r="G58">
        <v>3</v>
      </c>
      <c r="H58">
        <v>29</v>
      </c>
      <c r="I58">
        <v>45</v>
      </c>
      <c r="J58">
        <v>45</v>
      </c>
      <c r="K58">
        <v>216</v>
      </c>
      <c r="L58">
        <v>130</v>
      </c>
      <c r="M58">
        <v>87</v>
      </c>
      <c r="N58">
        <v>51</v>
      </c>
      <c r="O58">
        <v>6.2</v>
      </c>
      <c r="P58">
        <v>67</v>
      </c>
      <c r="Q58">
        <v>48</v>
      </c>
      <c r="R58">
        <f t="shared" si="0"/>
        <v>4.6100000000000003</v>
      </c>
      <c r="S58">
        <f t="shared" si="1"/>
        <v>4.8</v>
      </c>
      <c r="T58" s="2">
        <f t="shared" si="2"/>
        <v>3.3</v>
      </c>
      <c r="U58">
        <f t="shared" si="3"/>
        <v>47.98</v>
      </c>
      <c r="V58">
        <f t="shared" si="4"/>
        <v>12</v>
      </c>
    </row>
    <row r="59" spans="1:22" x14ac:dyDescent="0.3">
      <c r="A59">
        <v>58</v>
      </c>
      <c r="B59" t="s">
        <v>19</v>
      </c>
      <c r="C59">
        <v>8</v>
      </c>
      <c r="D59" t="s">
        <v>26</v>
      </c>
      <c r="E59">
        <v>3</v>
      </c>
      <c r="F59">
        <v>4</v>
      </c>
      <c r="G59">
        <v>2</v>
      </c>
      <c r="H59">
        <v>21</v>
      </c>
      <c r="I59">
        <v>28</v>
      </c>
      <c r="J59">
        <v>52</v>
      </c>
      <c r="K59">
        <v>131</v>
      </c>
      <c r="L59">
        <v>97</v>
      </c>
      <c r="M59">
        <v>69</v>
      </c>
      <c r="N59">
        <v>65</v>
      </c>
      <c r="O59">
        <v>6.5</v>
      </c>
      <c r="P59">
        <v>54</v>
      </c>
      <c r="Q59">
        <v>47</v>
      </c>
      <c r="R59">
        <f t="shared" si="0"/>
        <v>3.28</v>
      </c>
      <c r="S59">
        <f t="shared" si="1"/>
        <v>3.93</v>
      </c>
      <c r="T59" s="2">
        <f t="shared" si="2"/>
        <v>2.89</v>
      </c>
      <c r="U59">
        <f t="shared" si="3"/>
        <v>40.93</v>
      </c>
      <c r="V59">
        <f t="shared" si="4"/>
        <v>8</v>
      </c>
    </row>
    <row r="60" spans="1:22" x14ac:dyDescent="0.3">
      <c r="A60">
        <v>59</v>
      </c>
      <c r="B60" t="s">
        <v>19</v>
      </c>
      <c r="C60">
        <v>10</v>
      </c>
      <c r="D60" t="s">
        <v>26</v>
      </c>
      <c r="E60">
        <v>3</v>
      </c>
      <c r="F60">
        <v>4</v>
      </c>
      <c r="G60">
        <v>2</v>
      </c>
      <c r="H60">
        <v>28</v>
      </c>
      <c r="I60">
        <v>22</v>
      </c>
      <c r="J60">
        <v>55</v>
      </c>
      <c r="K60">
        <v>92</v>
      </c>
      <c r="L60">
        <v>165</v>
      </c>
      <c r="M60">
        <v>74</v>
      </c>
      <c r="N60">
        <v>48</v>
      </c>
      <c r="O60">
        <v>8.5</v>
      </c>
      <c r="P60">
        <v>52</v>
      </c>
      <c r="Q60">
        <v>44</v>
      </c>
      <c r="R60">
        <f t="shared" si="0"/>
        <v>3.7</v>
      </c>
      <c r="S60">
        <f t="shared" si="1"/>
        <v>4.1100000000000003</v>
      </c>
      <c r="T60" s="2">
        <f t="shared" si="2"/>
        <v>2.75</v>
      </c>
      <c r="U60">
        <f t="shared" si="3"/>
        <v>46.61</v>
      </c>
      <c r="V60">
        <f t="shared" si="4"/>
        <v>8</v>
      </c>
    </row>
    <row r="61" spans="1:22" x14ac:dyDescent="0.3">
      <c r="A61">
        <v>60</v>
      </c>
      <c r="B61" t="s">
        <v>19</v>
      </c>
      <c r="C61">
        <v>7</v>
      </c>
      <c r="D61" t="s">
        <v>26</v>
      </c>
      <c r="E61">
        <v>3</v>
      </c>
      <c r="F61">
        <v>4</v>
      </c>
      <c r="G61">
        <v>2</v>
      </c>
      <c r="H61">
        <v>20</v>
      </c>
      <c r="I61">
        <v>27</v>
      </c>
      <c r="J61">
        <v>46</v>
      </c>
      <c r="K61">
        <v>197</v>
      </c>
      <c r="L61">
        <v>72</v>
      </c>
      <c r="M61">
        <v>79</v>
      </c>
      <c r="N61">
        <v>54</v>
      </c>
      <c r="O61">
        <v>6.2</v>
      </c>
      <c r="P61">
        <v>60</v>
      </c>
      <c r="Q61">
        <v>72</v>
      </c>
      <c r="R61">
        <f t="shared" si="0"/>
        <v>3.76</v>
      </c>
      <c r="S61">
        <f t="shared" si="1"/>
        <v>3.64</v>
      </c>
      <c r="T61" s="2">
        <f t="shared" si="2"/>
        <v>3.77</v>
      </c>
      <c r="U61">
        <f t="shared" si="3"/>
        <v>42.08</v>
      </c>
      <c r="V61">
        <f t="shared" si="4"/>
        <v>8</v>
      </c>
    </row>
    <row r="62" spans="1:22" x14ac:dyDescent="0.3">
      <c r="A62">
        <v>61</v>
      </c>
      <c r="B62" t="s">
        <v>21</v>
      </c>
      <c r="C62">
        <v>8</v>
      </c>
      <c r="D62" t="s">
        <v>26</v>
      </c>
      <c r="E62">
        <v>3</v>
      </c>
      <c r="F62">
        <v>4</v>
      </c>
      <c r="G62">
        <v>2</v>
      </c>
      <c r="H62">
        <v>34</v>
      </c>
      <c r="I62">
        <v>28</v>
      </c>
      <c r="J62">
        <v>64</v>
      </c>
      <c r="K62">
        <v>137</v>
      </c>
      <c r="L62">
        <v>91</v>
      </c>
      <c r="M62">
        <v>78</v>
      </c>
      <c r="N62">
        <v>52</v>
      </c>
      <c r="O62">
        <v>7.8</v>
      </c>
      <c r="P62">
        <v>40</v>
      </c>
      <c r="Q62">
        <v>49</v>
      </c>
      <c r="R62">
        <f t="shared" si="0"/>
        <v>3.44</v>
      </c>
      <c r="S62">
        <f t="shared" si="1"/>
        <v>4.95</v>
      </c>
      <c r="T62" s="2">
        <f t="shared" si="2"/>
        <v>2.54</v>
      </c>
      <c r="U62">
        <f t="shared" si="3"/>
        <v>47.06</v>
      </c>
      <c r="V62">
        <f t="shared" si="4"/>
        <v>8</v>
      </c>
    </row>
    <row r="63" spans="1:22" x14ac:dyDescent="0.3">
      <c r="A63">
        <v>62</v>
      </c>
      <c r="B63" t="s">
        <v>21</v>
      </c>
      <c r="C63">
        <v>7</v>
      </c>
      <c r="D63" t="s">
        <v>26</v>
      </c>
      <c r="E63">
        <v>3</v>
      </c>
      <c r="F63">
        <v>4</v>
      </c>
      <c r="G63">
        <v>2</v>
      </c>
      <c r="H63">
        <v>29</v>
      </c>
      <c r="I63">
        <v>38</v>
      </c>
      <c r="J63">
        <v>61</v>
      </c>
      <c r="K63">
        <v>138</v>
      </c>
      <c r="L63">
        <v>120</v>
      </c>
      <c r="M63">
        <v>85</v>
      </c>
      <c r="N63">
        <v>57</v>
      </c>
      <c r="O63">
        <v>5.7</v>
      </c>
      <c r="P63">
        <v>74</v>
      </c>
      <c r="Q63">
        <v>83</v>
      </c>
      <c r="R63">
        <f t="shared" si="0"/>
        <v>3.86</v>
      </c>
      <c r="S63">
        <f t="shared" si="1"/>
        <v>5.04</v>
      </c>
      <c r="T63" s="2">
        <f t="shared" si="2"/>
        <v>4.4800000000000004</v>
      </c>
      <c r="U63">
        <f t="shared" si="3"/>
        <v>47.34</v>
      </c>
      <c r="V63">
        <f t="shared" si="4"/>
        <v>8</v>
      </c>
    </row>
    <row r="64" spans="1:22" x14ac:dyDescent="0.3">
      <c r="A64">
        <v>63</v>
      </c>
      <c r="B64" t="s">
        <v>19</v>
      </c>
      <c r="C64">
        <v>7</v>
      </c>
      <c r="D64" t="s">
        <v>26</v>
      </c>
      <c r="E64">
        <v>3</v>
      </c>
      <c r="F64">
        <v>4</v>
      </c>
      <c r="G64">
        <v>2</v>
      </c>
      <c r="H64">
        <v>29</v>
      </c>
      <c r="I64">
        <v>23</v>
      </c>
      <c r="J64">
        <v>65</v>
      </c>
      <c r="K64">
        <v>162</v>
      </c>
      <c r="L64">
        <v>170</v>
      </c>
      <c r="M64">
        <v>42</v>
      </c>
      <c r="N64">
        <v>67</v>
      </c>
      <c r="O64">
        <v>7.1</v>
      </c>
      <c r="P64">
        <v>72</v>
      </c>
      <c r="Q64">
        <v>53</v>
      </c>
      <c r="R64">
        <f t="shared" si="0"/>
        <v>3.7</v>
      </c>
      <c r="S64">
        <f t="shared" si="1"/>
        <v>4.53</v>
      </c>
      <c r="T64" s="2">
        <f t="shared" si="2"/>
        <v>3.59</v>
      </c>
      <c r="U64">
        <f t="shared" si="3"/>
        <v>46.54</v>
      </c>
      <c r="V64">
        <f t="shared" si="4"/>
        <v>8</v>
      </c>
    </row>
    <row r="65" spans="1:22" x14ac:dyDescent="0.3">
      <c r="A65">
        <v>64</v>
      </c>
      <c r="B65" t="s">
        <v>21</v>
      </c>
      <c r="C65">
        <v>9</v>
      </c>
      <c r="D65" t="s">
        <v>26</v>
      </c>
      <c r="E65">
        <v>3</v>
      </c>
      <c r="F65">
        <v>4</v>
      </c>
      <c r="G65">
        <v>2</v>
      </c>
      <c r="H65">
        <v>20</v>
      </c>
      <c r="I65">
        <v>33</v>
      </c>
      <c r="J65">
        <v>66</v>
      </c>
      <c r="K65">
        <v>152</v>
      </c>
      <c r="L65">
        <v>83</v>
      </c>
      <c r="M65">
        <v>67</v>
      </c>
      <c r="N65">
        <v>68</v>
      </c>
      <c r="O65">
        <v>7.4</v>
      </c>
      <c r="P65">
        <v>83</v>
      </c>
      <c r="Q65">
        <v>59</v>
      </c>
      <c r="R65">
        <f t="shared" si="0"/>
        <v>3.28</v>
      </c>
      <c r="S65">
        <f t="shared" si="1"/>
        <v>4.5599999999999996</v>
      </c>
      <c r="T65" s="2">
        <f t="shared" si="2"/>
        <v>4.07</v>
      </c>
      <c r="U65">
        <f t="shared" si="3"/>
        <v>46.71</v>
      </c>
      <c r="V65">
        <f t="shared" si="4"/>
        <v>8</v>
      </c>
    </row>
    <row r="66" spans="1:22" x14ac:dyDescent="0.3">
      <c r="A66">
        <v>65</v>
      </c>
      <c r="B66" t="s">
        <v>19</v>
      </c>
      <c r="C66">
        <v>10</v>
      </c>
      <c r="D66" t="s">
        <v>26</v>
      </c>
      <c r="E66">
        <v>3</v>
      </c>
      <c r="F66">
        <v>4</v>
      </c>
      <c r="G66">
        <v>2</v>
      </c>
      <c r="H66">
        <v>25</v>
      </c>
      <c r="I66">
        <v>36</v>
      </c>
      <c r="J66">
        <v>60</v>
      </c>
      <c r="K66">
        <v>124</v>
      </c>
      <c r="L66">
        <v>148</v>
      </c>
      <c r="M66">
        <v>74</v>
      </c>
      <c r="N66">
        <v>75</v>
      </c>
      <c r="O66">
        <v>6.9</v>
      </c>
      <c r="P66">
        <v>82</v>
      </c>
      <c r="Q66">
        <v>76</v>
      </c>
      <c r="R66">
        <f t="shared" si="0"/>
        <v>3.8</v>
      </c>
      <c r="S66">
        <f t="shared" si="1"/>
        <v>4.7300000000000004</v>
      </c>
      <c r="T66" s="2">
        <f t="shared" si="2"/>
        <v>4.5199999999999996</v>
      </c>
      <c r="U66">
        <f t="shared" si="3"/>
        <v>48.54</v>
      </c>
      <c r="V66">
        <f t="shared" si="4"/>
        <v>8</v>
      </c>
    </row>
    <row r="67" spans="1:22" x14ac:dyDescent="0.3">
      <c r="A67">
        <v>66</v>
      </c>
      <c r="B67" t="s">
        <v>19</v>
      </c>
      <c r="C67">
        <v>9</v>
      </c>
      <c r="D67" t="s">
        <v>26</v>
      </c>
      <c r="E67">
        <v>3</v>
      </c>
      <c r="F67">
        <v>4</v>
      </c>
      <c r="G67">
        <v>2</v>
      </c>
      <c r="H67">
        <v>27</v>
      </c>
      <c r="I67">
        <v>22</v>
      </c>
      <c r="J67">
        <v>48</v>
      </c>
      <c r="K67">
        <v>147</v>
      </c>
      <c r="L67">
        <v>101</v>
      </c>
      <c r="M67">
        <v>88</v>
      </c>
      <c r="N67">
        <v>74</v>
      </c>
      <c r="O67">
        <v>7.2</v>
      </c>
      <c r="P67">
        <v>72</v>
      </c>
      <c r="Q67">
        <v>54</v>
      </c>
      <c r="R67">
        <f t="shared" ref="R67:R94" si="5">ROUND((((K67/418)+(L67/354)+(M67/174))/3)*10,2)</f>
        <v>3.81</v>
      </c>
      <c r="S67">
        <f t="shared" ref="S67:S94" si="6">ROUND((((H67/70)+(I67/78)+(J67/100))/3)*10,2)</f>
        <v>3.83</v>
      </c>
      <c r="T67" s="2">
        <f t="shared" ref="T67:T94" si="7">ROUND((((P67/171)+(Q67/179))/2)*10,2)</f>
        <v>3.61</v>
      </c>
      <c r="U67">
        <f t="shared" ref="U67:U94" si="8">ROUND(((S67*0.35)+(R67*0.3)+(O67*0.2)+(T67*0.15))*10,2)</f>
        <v>44.65</v>
      </c>
      <c r="V67">
        <f t="shared" ref="V67:V94" si="9">F67*G67</f>
        <v>8</v>
      </c>
    </row>
    <row r="68" spans="1:22" x14ac:dyDescent="0.3">
      <c r="A68">
        <v>67</v>
      </c>
      <c r="B68" t="s">
        <v>19</v>
      </c>
      <c r="C68">
        <v>10</v>
      </c>
      <c r="D68" t="s">
        <v>26</v>
      </c>
      <c r="E68">
        <v>3</v>
      </c>
      <c r="F68">
        <v>4</v>
      </c>
      <c r="G68">
        <v>2</v>
      </c>
      <c r="H68">
        <v>30</v>
      </c>
      <c r="I68">
        <v>25</v>
      </c>
      <c r="J68">
        <v>55</v>
      </c>
      <c r="K68">
        <v>117</v>
      </c>
      <c r="L68">
        <v>115</v>
      </c>
      <c r="M68">
        <v>56</v>
      </c>
      <c r="N68">
        <v>66</v>
      </c>
      <c r="O68">
        <v>6.3</v>
      </c>
      <c r="P68">
        <v>68</v>
      </c>
      <c r="Q68">
        <v>74</v>
      </c>
      <c r="R68">
        <f t="shared" si="5"/>
        <v>3.09</v>
      </c>
      <c r="S68">
        <f t="shared" si="6"/>
        <v>4.33</v>
      </c>
      <c r="T68" s="2">
        <f t="shared" si="7"/>
        <v>4.0599999999999996</v>
      </c>
      <c r="U68">
        <f t="shared" si="8"/>
        <v>43.12</v>
      </c>
      <c r="V68">
        <f t="shared" si="9"/>
        <v>8</v>
      </c>
    </row>
    <row r="69" spans="1:22" x14ac:dyDescent="0.3">
      <c r="A69">
        <v>68</v>
      </c>
      <c r="B69" t="s">
        <v>19</v>
      </c>
      <c r="C69">
        <v>15</v>
      </c>
      <c r="D69" t="s">
        <v>27</v>
      </c>
      <c r="E69">
        <v>4</v>
      </c>
      <c r="F69">
        <v>4</v>
      </c>
      <c r="G69">
        <v>3</v>
      </c>
      <c r="H69">
        <v>28</v>
      </c>
      <c r="I69">
        <v>46</v>
      </c>
      <c r="J69">
        <v>56</v>
      </c>
      <c r="K69">
        <v>141</v>
      </c>
      <c r="L69">
        <v>151</v>
      </c>
      <c r="M69">
        <v>96</v>
      </c>
      <c r="N69">
        <v>81</v>
      </c>
      <c r="O69">
        <v>7.5</v>
      </c>
      <c r="P69">
        <v>93</v>
      </c>
      <c r="Q69">
        <v>60</v>
      </c>
      <c r="R69">
        <f t="shared" si="5"/>
        <v>4.3899999999999997</v>
      </c>
      <c r="S69">
        <f t="shared" si="6"/>
        <v>5.17</v>
      </c>
      <c r="T69" s="2">
        <f t="shared" si="7"/>
        <v>4.4000000000000004</v>
      </c>
      <c r="U69">
        <f t="shared" si="8"/>
        <v>52.87</v>
      </c>
      <c r="V69">
        <f t="shared" si="9"/>
        <v>12</v>
      </c>
    </row>
    <row r="70" spans="1:22" x14ac:dyDescent="0.3">
      <c r="A70">
        <v>69</v>
      </c>
      <c r="B70" t="s">
        <v>19</v>
      </c>
      <c r="C70">
        <v>14</v>
      </c>
      <c r="D70" t="s">
        <v>27</v>
      </c>
      <c r="E70">
        <v>4</v>
      </c>
      <c r="F70">
        <v>4</v>
      </c>
      <c r="G70">
        <v>3</v>
      </c>
      <c r="H70">
        <v>42</v>
      </c>
      <c r="I70">
        <v>30</v>
      </c>
      <c r="J70">
        <v>52</v>
      </c>
      <c r="K70">
        <v>195</v>
      </c>
      <c r="L70">
        <v>146</v>
      </c>
      <c r="M70">
        <v>75</v>
      </c>
      <c r="N70">
        <v>70</v>
      </c>
      <c r="O70">
        <v>6.9</v>
      </c>
      <c r="P70">
        <v>82</v>
      </c>
      <c r="Q70">
        <v>68</v>
      </c>
      <c r="R70">
        <f t="shared" si="5"/>
        <v>4.37</v>
      </c>
      <c r="S70">
        <f t="shared" si="6"/>
        <v>5.0199999999999996</v>
      </c>
      <c r="T70" s="2">
        <f t="shared" si="7"/>
        <v>4.3</v>
      </c>
      <c r="U70">
        <f t="shared" si="8"/>
        <v>50.93</v>
      </c>
      <c r="V70">
        <f t="shared" si="9"/>
        <v>12</v>
      </c>
    </row>
    <row r="71" spans="1:22" x14ac:dyDescent="0.3">
      <c r="A71">
        <v>70</v>
      </c>
      <c r="B71" t="s">
        <v>19</v>
      </c>
      <c r="C71">
        <v>15</v>
      </c>
      <c r="D71" t="s">
        <v>27</v>
      </c>
      <c r="E71">
        <v>4</v>
      </c>
      <c r="F71">
        <v>4</v>
      </c>
      <c r="G71">
        <v>3</v>
      </c>
      <c r="H71">
        <v>39</v>
      </c>
      <c r="I71">
        <v>43</v>
      </c>
      <c r="J71">
        <v>73</v>
      </c>
      <c r="K71">
        <v>260</v>
      </c>
      <c r="L71">
        <v>174</v>
      </c>
      <c r="M71">
        <v>72</v>
      </c>
      <c r="N71">
        <v>84</v>
      </c>
      <c r="O71">
        <v>6.8</v>
      </c>
      <c r="P71">
        <v>61</v>
      </c>
      <c r="Q71">
        <v>59</v>
      </c>
      <c r="R71">
        <f t="shared" si="5"/>
        <v>5.09</v>
      </c>
      <c r="S71">
        <f t="shared" si="6"/>
        <v>6.13</v>
      </c>
      <c r="T71" s="2">
        <f t="shared" si="7"/>
        <v>3.43</v>
      </c>
      <c r="U71">
        <f t="shared" si="8"/>
        <v>55.47</v>
      </c>
      <c r="V71">
        <f t="shared" si="9"/>
        <v>12</v>
      </c>
    </row>
    <row r="72" spans="1:22" x14ac:dyDescent="0.3">
      <c r="A72">
        <v>71</v>
      </c>
      <c r="B72" t="s">
        <v>21</v>
      </c>
      <c r="C72">
        <v>12</v>
      </c>
      <c r="D72" t="s">
        <v>27</v>
      </c>
      <c r="E72">
        <v>4</v>
      </c>
      <c r="F72">
        <v>4</v>
      </c>
      <c r="G72">
        <v>3</v>
      </c>
      <c r="H72">
        <v>38</v>
      </c>
      <c r="I72">
        <v>33</v>
      </c>
      <c r="J72">
        <v>73</v>
      </c>
      <c r="K72">
        <v>257</v>
      </c>
      <c r="L72">
        <v>137</v>
      </c>
      <c r="M72">
        <v>62</v>
      </c>
      <c r="N72">
        <v>68</v>
      </c>
      <c r="O72">
        <v>8.1999999999999993</v>
      </c>
      <c r="P72">
        <v>62</v>
      </c>
      <c r="Q72">
        <v>91</v>
      </c>
      <c r="R72">
        <f t="shared" si="5"/>
        <v>4.53</v>
      </c>
      <c r="S72">
        <f t="shared" si="6"/>
        <v>5.65</v>
      </c>
      <c r="T72" s="2">
        <f t="shared" si="7"/>
        <v>4.3499999999999996</v>
      </c>
      <c r="U72">
        <f t="shared" si="8"/>
        <v>56.29</v>
      </c>
      <c r="V72">
        <f t="shared" si="9"/>
        <v>12</v>
      </c>
    </row>
    <row r="73" spans="1:22" x14ac:dyDescent="0.3">
      <c r="A73">
        <v>72</v>
      </c>
      <c r="B73" t="s">
        <v>19</v>
      </c>
      <c r="C73">
        <v>15</v>
      </c>
      <c r="D73" t="s">
        <v>27</v>
      </c>
      <c r="E73">
        <v>4</v>
      </c>
      <c r="F73">
        <v>4</v>
      </c>
      <c r="G73">
        <v>3</v>
      </c>
      <c r="H73">
        <v>37</v>
      </c>
      <c r="I73">
        <v>33</v>
      </c>
      <c r="J73">
        <v>56</v>
      </c>
      <c r="K73">
        <v>195</v>
      </c>
      <c r="L73">
        <v>148</v>
      </c>
      <c r="M73">
        <v>73</v>
      </c>
      <c r="N73">
        <v>66</v>
      </c>
      <c r="O73">
        <v>6.9</v>
      </c>
      <c r="P73">
        <v>90</v>
      </c>
      <c r="Q73">
        <v>79</v>
      </c>
      <c r="R73">
        <f t="shared" si="5"/>
        <v>4.3499999999999996</v>
      </c>
      <c r="S73">
        <f t="shared" si="6"/>
        <v>5.04</v>
      </c>
      <c r="T73" s="2">
        <f t="shared" si="7"/>
        <v>4.84</v>
      </c>
      <c r="U73">
        <f t="shared" si="8"/>
        <v>51.75</v>
      </c>
      <c r="V73">
        <f t="shared" si="9"/>
        <v>12</v>
      </c>
    </row>
    <row r="74" spans="1:22" x14ac:dyDescent="0.3">
      <c r="A74">
        <v>73</v>
      </c>
      <c r="B74" t="s">
        <v>21</v>
      </c>
      <c r="C74">
        <v>11</v>
      </c>
      <c r="D74" t="s">
        <v>27</v>
      </c>
      <c r="E74">
        <v>4</v>
      </c>
      <c r="F74">
        <v>4</v>
      </c>
      <c r="G74">
        <v>3</v>
      </c>
      <c r="H74">
        <v>29</v>
      </c>
      <c r="I74">
        <v>47</v>
      </c>
      <c r="J74">
        <v>59</v>
      </c>
      <c r="K74">
        <v>152</v>
      </c>
      <c r="L74">
        <v>215</v>
      </c>
      <c r="M74">
        <v>56</v>
      </c>
      <c r="N74">
        <v>55</v>
      </c>
      <c r="O74">
        <v>7.7</v>
      </c>
      <c r="P74">
        <v>75</v>
      </c>
      <c r="Q74">
        <v>75</v>
      </c>
      <c r="R74">
        <f t="shared" si="5"/>
        <v>4.3099999999999996</v>
      </c>
      <c r="S74">
        <f t="shared" si="6"/>
        <v>5.36</v>
      </c>
      <c r="T74" s="2">
        <f t="shared" si="7"/>
        <v>4.29</v>
      </c>
      <c r="U74">
        <f t="shared" si="8"/>
        <v>53.53</v>
      </c>
      <c r="V74">
        <f t="shared" si="9"/>
        <v>12</v>
      </c>
    </row>
    <row r="75" spans="1:22" x14ac:dyDescent="0.3">
      <c r="A75">
        <v>74</v>
      </c>
      <c r="B75" t="s">
        <v>19</v>
      </c>
      <c r="C75">
        <v>12</v>
      </c>
      <c r="D75" t="s">
        <v>27</v>
      </c>
      <c r="E75">
        <v>4</v>
      </c>
      <c r="F75">
        <v>4</v>
      </c>
      <c r="G75">
        <v>3</v>
      </c>
      <c r="H75">
        <v>29</v>
      </c>
      <c r="I75">
        <v>38</v>
      </c>
      <c r="J75">
        <v>65</v>
      </c>
      <c r="K75">
        <v>149</v>
      </c>
      <c r="L75">
        <v>106</v>
      </c>
      <c r="M75">
        <v>75</v>
      </c>
      <c r="N75">
        <v>86</v>
      </c>
      <c r="O75">
        <v>6.2</v>
      </c>
      <c r="P75">
        <v>85</v>
      </c>
      <c r="Q75">
        <v>88</v>
      </c>
      <c r="R75">
        <f t="shared" si="5"/>
        <v>3.62</v>
      </c>
      <c r="S75">
        <f t="shared" si="6"/>
        <v>5.17</v>
      </c>
      <c r="T75" s="2">
        <f t="shared" si="7"/>
        <v>4.9400000000000004</v>
      </c>
      <c r="U75">
        <f t="shared" si="8"/>
        <v>48.77</v>
      </c>
      <c r="V75">
        <f t="shared" si="9"/>
        <v>12</v>
      </c>
    </row>
    <row r="76" spans="1:22" x14ac:dyDescent="0.3">
      <c r="A76">
        <v>75</v>
      </c>
      <c r="B76" t="s">
        <v>21</v>
      </c>
      <c r="C76">
        <v>6</v>
      </c>
      <c r="D76" t="s">
        <v>28</v>
      </c>
      <c r="E76">
        <v>1</v>
      </c>
      <c r="F76">
        <v>3</v>
      </c>
      <c r="G76">
        <v>1.5</v>
      </c>
      <c r="H76">
        <v>14</v>
      </c>
      <c r="I76">
        <v>10</v>
      </c>
      <c r="J76">
        <v>22</v>
      </c>
      <c r="K76">
        <v>35</v>
      </c>
      <c r="L76">
        <v>73</v>
      </c>
      <c r="M76">
        <v>53</v>
      </c>
      <c r="N76">
        <v>39</v>
      </c>
      <c r="O76">
        <v>5.6</v>
      </c>
      <c r="P76">
        <v>19</v>
      </c>
      <c r="Q76">
        <v>38</v>
      </c>
      <c r="R76">
        <f t="shared" si="5"/>
        <v>1.98</v>
      </c>
      <c r="S76">
        <f t="shared" si="6"/>
        <v>1.83</v>
      </c>
      <c r="T76" s="2">
        <f t="shared" si="7"/>
        <v>1.62</v>
      </c>
      <c r="U76">
        <f t="shared" si="8"/>
        <v>25.98</v>
      </c>
      <c r="V76">
        <f t="shared" si="9"/>
        <v>4.5</v>
      </c>
    </row>
    <row r="77" spans="1:22" x14ac:dyDescent="0.3">
      <c r="A77">
        <v>76</v>
      </c>
      <c r="B77" t="s">
        <v>19</v>
      </c>
      <c r="C77">
        <v>8</v>
      </c>
      <c r="D77" t="s">
        <v>28</v>
      </c>
      <c r="E77">
        <v>1</v>
      </c>
      <c r="F77">
        <v>3</v>
      </c>
      <c r="G77">
        <v>1.5</v>
      </c>
      <c r="H77">
        <v>14</v>
      </c>
      <c r="I77">
        <v>21</v>
      </c>
      <c r="J77">
        <v>24</v>
      </c>
      <c r="K77">
        <v>27</v>
      </c>
      <c r="L77">
        <v>32</v>
      </c>
      <c r="M77">
        <v>28</v>
      </c>
      <c r="N77">
        <v>40</v>
      </c>
      <c r="O77">
        <v>2.9</v>
      </c>
      <c r="P77">
        <v>10</v>
      </c>
      <c r="Q77">
        <v>15</v>
      </c>
      <c r="R77">
        <f t="shared" si="5"/>
        <v>1.05</v>
      </c>
      <c r="S77">
        <f t="shared" si="6"/>
        <v>2.36</v>
      </c>
      <c r="T77" s="2">
        <f t="shared" si="7"/>
        <v>0.71</v>
      </c>
      <c r="U77">
        <f t="shared" si="8"/>
        <v>18.28</v>
      </c>
      <c r="V77">
        <f t="shared" si="9"/>
        <v>4.5</v>
      </c>
    </row>
    <row r="78" spans="1:22" x14ac:dyDescent="0.3">
      <c r="A78">
        <v>77</v>
      </c>
      <c r="B78" t="s">
        <v>19</v>
      </c>
      <c r="C78">
        <v>9</v>
      </c>
      <c r="D78" t="s">
        <v>28</v>
      </c>
      <c r="E78">
        <v>1</v>
      </c>
      <c r="F78">
        <v>3</v>
      </c>
      <c r="G78">
        <v>1.5</v>
      </c>
      <c r="H78">
        <v>7</v>
      </c>
      <c r="I78">
        <v>13</v>
      </c>
      <c r="J78">
        <v>15</v>
      </c>
      <c r="K78">
        <v>72</v>
      </c>
      <c r="L78">
        <v>77</v>
      </c>
      <c r="M78">
        <v>59</v>
      </c>
      <c r="N78">
        <v>39</v>
      </c>
      <c r="O78">
        <v>4.0999999999999996</v>
      </c>
      <c r="P78">
        <v>7</v>
      </c>
      <c r="Q78">
        <v>19</v>
      </c>
      <c r="R78">
        <f t="shared" si="5"/>
        <v>2.4300000000000002</v>
      </c>
      <c r="S78">
        <f t="shared" si="6"/>
        <v>1.39</v>
      </c>
      <c r="T78" s="2">
        <f t="shared" si="7"/>
        <v>0.74</v>
      </c>
      <c r="U78">
        <f t="shared" si="8"/>
        <v>21.47</v>
      </c>
      <c r="V78">
        <f t="shared" si="9"/>
        <v>4.5</v>
      </c>
    </row>
    <row r="79" spans="1:22" x14ac:dyDescent="0.3">
      <c r="A79">
        <v>78</v>
      </c>
      <c r="B79" t="s">
        <v>19</v>
      </c>
      <c r="C79">
        <v>7</v>
      </c>
      <c r="D79" t="s">
        <v>28</v>
      </c>
      <c r="E79">
        <v>1</v>
      </c>
      <c r="F79">
        <v>3</v>
      </c>
      <c r="G79">
        <v>1.5</v>
      </c>
      <c r="H79">
        <v>19</v>
      </c>
      <c r="I79">
        <v>10</v>
      </c>
      <c r="J79">
        <v>36</v>
      </c>
      <c r="K79">
        <v>49</v>
      </c>
      <c r="L79">
        <v>53</v>
      </c>
      <c r="M79">
        <v>55</v>
      </c>
      <c r="N79">
        <v>38</v>
      </c>
      <c r="O79">
        <v>5</v>
      </c>
      <c r="P79">
        <v>17</v>
      </c>
      <c r="Q79">
        <v>32</v>
      </c>
      <c r="R79">
        <f t="shared" si="5"/>
        <v>1.94</v>
      </c>
      <c r="S79">
        <f t="shared" si="6"/>
        <v>2.5299999999999998</v>
      </c>
      <c r="T79" s="2">
        <f t="shared" si="7"/>
        <v>1.39</v>
      </c>
      <c r="U79">
        <f t="shared" si="8"/>
        <v>26.76</v>
      </c>
      <c r="V79">
        <f t="shared" si="9"/>
        <v>4.5</v>
      </c>
    </row>
    <row r="80" spans="1:22" x14ac:dyDescent="0.3">
      <c r="A80">
        <v>79</v>
      </c>
      <c r="B80" t="s">
        <v>21</v>
      </c>
      <c r="C80">
        <v>6</v>
      </c>
      <c r="D80" t="s">
        <v>28</v>
      </c>
      <c r="E80">
        <v>1</v>
      </c>
      <c r="F80">
        <v>3</v>
      </c>
      <c r="G80">
        <v>1.5</v>
      </c>
      <c r="H80">
        <v>9</v>
      </c>
      <c r="I80">
        <v>16</v>
      </c>
      <c r="J80">
        <v>41</v>
      </c>
      <c r="K80">
        <v>38</v>
      </c>
      <c r="L80">
        <v>29</v>
      </c>
      <c r="M80">
        <v>18</v>
      </c>
      <c r="N80">
        <v>25</v>
      </c>
      <c r="O80">
        <v>5.6</v>
      </c>
      <c r="P80">
        <v>23</v>
      </c>
      <c r="Q80">
        <v>33</v>
      </c>
      <c r="R80">
        <f t="shared" si="5"/>
        <v>0.92</v>
      </c>
      <c r="S80">
        <f t="shared" si="6"/>
        <v>2.48</v>
      </c>
      <c r="T80" s="2">
        <f t="shared" si="7"/>
        <v>1.59</v>
      </c>
      <c r="U80">
        <f t="shared" si="8"/>
        <v>25.03</v>
      </c>
      <c r="V80">
        <f t="shared" si="9"/>
        <v>4.5</v>
      </c>
    </row>
    <row r="81" spans="1:22" x14ac:dyDescent="0.3">
      <c r="A81">
        <v>80</v>
      </c>
      <c r="B81" t="s">
        <v>21</v>
      </c>
      <c r="C81">
        <v>10</v>
      </c>
      <c r="D81" t="s">
        <v>28</v>
      </c>
      <c r="E81">
        <v>1</v>
      </c>
      <c r="F81">
        <v>3</v>
      </c>
      <c r="G81">
        <v>1.5</v>
      </c>
      <c r="H81">
        <v>14</v>
      </c>
      <c r="I81">
        <v>20</v>
      </c>
      <c r="J81">
        <v>45</v>
      </c>
      <c r="K81">
        <v>54</v>
      </c>
      <c r="L81">
        <v>84</v>
      </c>
      <c r="M81">
        <v>49</v>
      </c>
      <c r="N81">
        <v>35</v>
      </c>
      <c r="O81">
        <v>4</v>
      </c>
      <c r="P81">
        <v>7</v>
      </c>
      <c r="Q81">
        <v>32</v>
      </c>
      <c r="R81">
        <f t="shared" si="5"/>
        <v>2.16</v>
      </c>
      <c r="S81">
        <f t="shared" si="6"/>
        <v>3.02</v>
      </c>
      <c r="T81" s="2">
        <f t="shared" si="7"/>
        <v>1.1000000000000001</v>
      </c>
      <c r="U81">
        <f t="shared" si="8"/>
        <v>26.7</v>
      </c>
      <c r="V81">
        <f t="shared" si="9"/>
        <v>4.5</v>
      </c>
    </row>
    <row r="82" spans="1:22" x14ac:dyDescent="0.3">
      <c r="A82">
        <v>81</v>
      </c>
      <c r="B82" t="s">
        <v>19</v>
      </c>
      <c r="C82">
        <v>9</v>
      </c>
      <c r="D82" t="s">
        <v>28</v>
      </c>
      <c r="E82">
        <v>1</v>
      </c>
      <c r="F82">
        <v>3</v>
      </c>
      <c r="G82">
        <v>1.5</v>
      </c>
      <c r="H82">
        <v>13</v>
      </c>
      <c r="I82">
        <v>8</v>
      </c>
      <c r="J82">
        <v>17</v>
      </c>
      <c r="K82">
        <v>49</v>
      </c>
      <c r="L82">
        <v>22</v>
      </c>
      <c r="M82">
        <v>58</v>
      </c>
      <c r="N82">
        <v>46</v>
      </c>
      <c r="O82">
        <v>3.2</v>
      </c>
      <c r="P82">
        <v>7</v>
      </c>
      <c r="Q82">
        <v>16</v>
      </c>
      <c r="R82">
        <f t="shared" si="5"/>
        <v>1.71</v>
      </c>
      <c r="S82">
        <f t="shared" si="6"/>
        <v>1.53</v>
      </c>
      <c r="T82" s="2">
        <f t="shared" si="7"/>
        <v>0.65</v>
      </c>
      <c r="U82">
        <f t="shared" si="8"/>
        <v>17.86</v>
      </c>
      <c r="V82">
        <f t="shared" si="9"/>
        <v>4.5</v>
      </c>
    </row>
    <row r="83" spans="1:22" x14ac:dyDescent="0.3">
      <c r="A83">
        <v>82</v>
      </c>
      <c r="B83" t="s">
        <v>19</v>
      </c>
      <c r="C83">
        <v>10</v>
      </c>
      <c r="D83" t="s">
        <v>28</v>
      </c>
      <c r="E83">
        <v>1</v>
      </c>
      <c r="F83">
        <v>3</v>
      </c>
      <c r="G83">
        <v>1.5</v>
      </c>
      <c r="H83">
        <v>19</v>
      </c>
      <c r="I83">
        <v>16</v>
      </c>
      <c r="J83">
        <v>20</v>
      </c>
      <c r="K83">
        <v>75</v>
      </c>
      <c r="L83">
        <v>82</v>
      </c>
      <c r="M83">
        <v>20</v>
      </c>
      <c r="N83">
        <v>35</v>
      </c>
      <c r="O83">
        <v>3.6</v>
      </c>
      <c r="P83">
        <v>26</v>
      </c>
      <c r="Q83">
        <v>25</v>
      </c>
      <c r="R83">
        <f t="shared" si="5"/>
        <v>1.75</v>
      </c>
      <c r="S83">
        <f t="shared" si="6"/>
        <v>2.2599999999999998</v>
      </c>
      <c r="T83" s="2">
        <f t="shared" si="7"/>
        <v>1.46</v>
      </c>
      <c r="U83">
        <f t="shared" si="8"/>
        <v>22.55</v>
      </c>
      <c r="V83">
        <f t="shared" si="9"/>
        <v>4.5</v>
      </c>
    </row>
    <row r="84" spans="1:22" x14ac:dyDescent="0.3">
      <c r="A84">
        <v>83</v>
      </c>
      <c r="B84" t="s">
        <v>19</v>
      </c>
      <c r="C84">
        <v>11</v>
      </c>
      <c r="D84" t="s">
        <v>28</v>
      </c>
      <c r="E84">
        <v>1</v>
      </c>
      <c r="F84">
        <v>3</v>
      </c>
      <c r="G84">
        <v>1.5</v>
      </c>
      <c r="H84">
        <v>10</v>
      </c>
      <c r="I84">
        <v>18</v>
      </c>
      <c r="J84">
        <v>28</v>
      </c>
      <c r="K84">
        <v>83</v>
      </c>
      <c r="L84">
        <v>56</v>
      </c>
      <c r="M84">
        <v>57</v>
      </c>
      <c r="N84">
        <v>50</v>
      </c>
      <c r="O84">
        <v>3.8</v>
      </c>
      <c r="P84">
        <v>40</v>
      </c>
      <c r="Q84">
        <v>7</v>
      </c>
      <c r="R84">
        <f t="shared" si="5"/>
        <v>2.2799999999999998</v>
      </c>
      <c r="S84">
        <f t="shared" si="6"/>
        <v>2.1800000000000002</v>
      </c>
      <c r="T84" s="2">
        <f t="shared" si="7"/>
        <v>1.37</v>
      </c>
      <c r="U84">
        <f t="shared" si="8"/>
        <v>24.13</v>
      </c>
      <c r="V84">
        <f t="shared" si="9"/>
        <v>4.5</v>
      </c>
    </row>
    <row r="85" spans="1:22" x14ac:dyDescent="0.3">
      <c r="A85">
        <v>84</v>
      </c>
      <c r="B85" t="s">
        <v>19</v>
      </c>
      <c r="C85">
        <v>7</v>
      </c>
      <c r="D85" t="s">
        <v>28</v>
      </c>
      <c r="E85">
        <v>1</v>
      </c>
      <c r="F85">
        <v>3</v>
      </c>
      <c r="G85">
        <v>1.5</v>
      </c>
      <c r="H85">
        <v>13</v>
      </c>
      <c r="I85">
        <v>18</v>
      </c>
      <c r="J85">
        <v>18</v>
      </c>
      <c r="K85">
        <v>71</v>
      </c>
      <c r="L85">
        <v>85</v>
      </c>
      <c r="M85">
        <v>15</v>
      </c>
      <c r="N85">
        <v>41</v>
      </c>
      <c r="O85">
        <v>5.9</v>
      </c>
      <c r="P85">
        <v>34</v>
      </c>
      <c r="Q85">
        <v>31</v>
      </c>
      <c r="R85">
        <f t="shared" si="5"/>
        <v>1.65</v>
      </c>
      <c r="S85">
        <f t="shared" si="6"/>
        <v>1.99</v>
      </c>
      <c r="T85" s="2">
        <f t="shared" si="7"/>
        <v>1.86</v>
      </c>
      <c r="U85">
        <f t="shared" si="8"/>
        <v>26.51</v>
      </c>
      <c r="V85">
        <f t="shared" si="9"/>
        <v>4.5</v>
      </c>
    </row>
    <row r="86" spans="1:22" x14ac:dyDescent="0.3">
      <c r="A86">
        <v>85</v>
      </c>
      <c r="B86" t="s">
        <v>21</v>
      </c>
      <c r="C86">
        <v>9</v>
      </c>
      <c r="D86" t="s">
        <v>28</v>
      </c>
      <c r="E86">
        <v>1</v>
      </c>
      <c r="F86">
        <v>3</v>
      </c>
      <c r="G86">
        <v>1.5</v>
      </c>
      <c r="H86">
        <v>16</v>
      </c>
      <c r="I86">
        <v>23</v>
      </c>
      <c r="J86">
        <v>35</v>
      </c>
      <c r="K86">
        <v>76</v>
      </c>
      <c r="L86">
        <v>26</v>
      </c>
      <c r="M86">
        <v>28</v>
      </c>
      <c r="N86">
        <v>28</v>
      </c>
      <c r="O86">
        <v>4.5</v>
      </c>
      <c r="P86">
        <v>23</v>
      </c>
      <c r="Q86">
        <v>33</v>
      </c>
      <c r="R86">
        <f t="shared" si="5"/>
        <v>1.39</v>
      </c>
      <c r="S86">
        <f t="shared" si="6"/>
        <v>2.91</v>
      </c>
      <c r="T86" s="2">
        <f t="shared" si="7"/>
        <v>1.59</v>
      </c>
      <c r="U86">
        <f t="shared" si="8"/>
        <v>25.74</v>
      </c>
      <c r="V86">
        <f t="shared" si="9"/>
        <v>4.5</v>
      </c>
    </row>
    <row r="87" spans="1:22" x14ac:dyDescent="0.3">
      <c r="A87">
        <v>86</v>
      </c>
      <c r="B87" t="s">
        <v>19</v>
      </c>
      <c r="C87">
        <v>10</v>
      </c>
      <c r="D87" t="s">
        <v>28</v>
      </c>
      <c r="E87">
        <v>1</v>
      </c>
      <c r="F87">
        <v>3</v>
      </c>
      <c r="G87">
        <v>1.5</v>
      </c>
      <c r="H87">
        <v>20</v>
      </c>
      <c r="I87">
        <v>11</v>
      </c>
      <c r="J87">
        <v>15</v>
      </c>
      <c r="K87">
        <v>50</v>
      </c>
      <c r="L87">
        <v>40</v>
      </c>
      <c r="M87">
        <v>34</v>
      </c>
      <c r="N87">
        <v>37</v>
      </c>
      <c r="O87">
        <v>2.1</v>
      </c>
      <c r="P87">
        <v>31</v>
      </c>
      <c r="Q87">
        <v>10</v>
      </c>
      <c r="R87">
        <f t="shared" si="5"/>
        <v>1.43</v>
      </c>
      <c r="S87">
        <f t="shared" si="6"/>
        <v>1.92</v>
      </c>
      <c r="T87" s="2">
        <f t="shared" si="7"/>
        <v>1.19</v>
      </c>
      <c r="U87">
        <f t="shared" si="8"/>
        <v>17</v>
      </c>
      <c r="V87">
        <f t="shared" si="9"/>
        <v>4.5</v>
      </c>
    </row>
    <row r="88" spans="1:22" x14ac:dyDescent="0.3">
      <c r="A88">
        <v>87</v>
      </c>
      <c r="B88" t="s">
        <v>19</v>
      </c>
      <c r="C88">
        <v>6</v>
      </c>
      <c r="D88" t="s">
        <v>28</v>
      </c>
      <c r="E88">
        <v>1</v>
      </c>
      <c r="F88">
        <v>3</v>
      </c>
      <c r="G88">
        <v>1.5</v>
      </c>
      <c r="H88">
        <v>8</v>
      </c>
      <c r="I88">
        <v>22</v>
      </c>
      <c r="J88">
        <v>45</v>
      </c>
      <c r="K88">
        <v>35</v>
      </c>
      <c r="L88">
        <v>39</v>
      </c>
      <c r="M88">
        <v>46</v>
      </c>
      <c r="N88">
        <v>49</v>
      </c>
      <c r="O88">
        <v>5.2</v>
      </c>
      <c r="P88">
        <v>37</v>
      </c>
      <c r="Q88">
        <v>22</v>
      </c>
      <c r="R88">
        <f t="shared" si="5"/>
        <v>1.53</v>
      </c>
      <c r="S88">
        <f t="shared" si="6"/>
        <v>2.82</v>
      </c>
      <c r="T88" s="2">
        <f t="shared" si="7"/>
        <v>1.7</v>
      </c>
      <c r="U88">
        <f t="shared" si="8"/>
        <v>27.41</v>
      </c>
      <c r="V88">
        <f t="shared" si="9"/>
        <v>4.5</v>
      </c>
    </row>
    <row r="89" spans="1:22" x14ac:dyDescent="0.3">
      <c r="A89">
        <v>88</v>
      </c>
      <c r="B89" t="s">
        <v>19</v>
      </c>
      <c r="C89">
        <v>8</v>
      </c>
      <c r="D89" t="s">
        <v>28</v>
      </c>
      <c r="E89">
        <v>1</v>
      </c>
      <c r="F89">
        <v>3</v>
      </c>
      <c r="G89">
        <v>1.5</v>
      </c>
      <c r="H89">
        <v>20</v>
      </c>
      <c r="I89">
        <v>23</v>
      </c>
      <c r="J89">
        <v>22</v>
      </c>
      <c r="K89">
        <v>78</v>
      </c>
      <c r="L89">
        <v>90</v>
      </c>
      <c r="M89">
        <v>24</v>
      </c>
      <c r="N89">
        <v>32</v>
      </c>
      <c r="O89">
        <v>2.9</v>
      </c>
      <c r="P89">
        <v>37</v>
      </c>
      <c r="Q89">
        <v>13</v>
      </c>
      <c r="R89">
        <f t="shared" si="5"/>
        <v>1.93</v>
      </c>
      <c r="S89">
        <f t="shared" si="6"/>
        <v>2.67</v>
      </c>
      <c r="T89" s="2">
        <f t="shared" si="7"/>
        <v>1.44</v>
      </c>
      <c r="U89">
        <f t="shared" si="8"/>
        <v>23.1</v>
      </c>
      <c r="V89">
        <f t="shared" si="9"/>
        <v>4.5</v>
      </c>
    </row>
    <row r="90" spans="1:22" x14ac:dyDescent="0.3">
      <c r="A90">
        <v>89</v>
      </c>
      <c r="B90" t="s">
        <v>19</v>
      </c>
      <c r="C90">
        <v>11</v>
      </c>
      <c r="D90" t="s">
        <v>28</v>
      </c>
      <c r="E90">
        <v>1</v>
      </c>
      <c r="F90">
        <v>3</v>
      </c>
      <c r="G90">
        <v>1.5</v>
      </c>
      <c r="H90">
        <v>7</v>
      </c>
      <c r="I90">
        <v>16</v>
      </c>
      <c r="J90">
        <v>39</v>
      </c>
      <c r="K90">
        <v>73</v>
      </c>
      <c r="L90">
        <v>63</v>
      </c>
      <c r="M90">
        <v>47</v>
      </c>
      <c r="N90">
        <v>28</v>
      </c>
      <c r="O90">
        <v>5.7</v>
      </c>
      <c r="P90">
        <v>23</v>
      </c>
      <c r="Q90">
        <v>24</v>
      </c>
      <c r="R90">
        <f t="shared" si="5"/>
        <v>2.08</v>
      </c>
      <c r="S90">
        <f t="shared" si="6"/>
        <v>2.3199999999999998</v>
      </c>
      <c r="T90" s="2">
        <f t="shared" si="7"/>
        <v>1.34</v>
      </c>
      <c r="U90">
        <f t="shared" si="8"/>
        <v>27.77</v>
      </c>
      <c r="V90">
        <f t="shared" si="9"/>
        <v>4.5</v>
      </c>
    </row>
    <row r="91" spans="1:22" x14ac:dyDescent="0.3">
      <c r="A91">
        <v>90</v>
      </c>
      <c r="B91" t="s">
        <v>19</v>
      </c>
      <c r="C91">
        <v>11</v>
      </c>
      <c r="D91" t="s">
        <v>28</v>
      </c>
      <c r="E91">
        <v>1</v>
      </c>
      <c r="F91">
        <v>3</v>
      </c>
      <c r="G91">
        <v>1.5</v>
      </c>
      <c r="H91">
        <v>20</v>
      </c>
      <c r="I91">
        <v>12</v>
      </c>
      <c r="J91">
        <v>29</v>
      </c>
      <c r="K91">
        <v>88</v>
      </c>
      <c r="L91">
        <v>81</v>
      </c>
      <c r="M91">
        <v>37</v>
      </c>
      <c r="N91">
        <v>30</v>
      </c>
      <c r="O91">
        <v>4.5</v>
      </c>
      <c r="P91">
        <v>39</v>
      </c>
      <c r="Q91">
        <v>29</v>
      </c>
      <c r="R91">
        <f t="shared" si="5"/>
        <v>2.17</v>
      </c>
      <c r="S91">
        <f t="shared" si="6"/>
        <v>2.4300000000000002</v>
      </c>
      <c r="T91" s="2">
        <f t="shared" si="7"/>
        <v>1.95</v>
      </c>
      <c r="U91">
        <f t="shared" si="8"/>
        <v>26.94</v>
      </c>
      <c r="V91">
        <f t="shared" si="9"/>
        <v>4.5</v>
      </c>
    </row>
    <row r="92" spans="1:22" x14ac:dyDescent="0.3">
      <c r="A92">
        <v>91</v>
      </c>
      <c r="B92" t="s">
        <v>19</v>
      </c>
      <c r="C92">
        <v>8</v>
      </c>
      <c r="D92" t="s">
        <v>28</v>
      </c>
      <c r="E92">
        <v>1</v>
      </c>
      <c r="F92">
        <v>3</v>
      </c>
      <c r="G92">
        <v>1.5</v>
      </c>
      <c r="H92">
        <v>15</v>
      </c>
      <c r="I92">
        <v>14</v>
      </c>
      <c r="J92">
        <v>37</v>
      </c>
      <c r="K92">
        <v>50</v>
      </c>
      <c r="L92">
        <v>69</v>
      </c>
      <c r="M92">
        <v>29</v>
      </c>
      <c r="N92">
        <v>47</v>
      </c>
      <c r="O92">
        <v>5.5</v>
      </c>
      <c r="P92">
        <v>7</v>
      </c>
      <c r="Q92">
        <v>25</v>
      </c>
      <c r="R92">
        <f t="shared" si="5"/>
        <v>1.6</v>
      </c>
      <c r="S92">
        <f t="shared" si="6"/>
        <v>2.5499999999999998</v>
      </c>
      <c r="T92" s="2">
        <f t="shared" si="7"/>
        <v>0.9</v>
      </c>
      <c r="U92">
        <f t="shared" si="8"/>
        <v>26.08</v>
      </c>
      <c r="V92">
        <f t="shared" si="9"/>
        <v>4.5</v>
      </c>
    </row>
    <row r="93" spans="1:22" x14ac:dyDescent="0.3">
      <c r="A93">
        <v>92</v>
      </c>
      <c r="B93" t="s">
        <v>19</v>
      </c>
      <c r="C93">
        <v>10</v>
      </c>
      <c r="D93" t="s">
        <v>28</v>
      </c>
      <c r="E93">
        <v>1</v>
      </c>
      <c r="F93">
        <v>3</v>
      </c>
      <c r="G93">
        <v>1.5</v>
      </c>
      <c r="H93">
        <v>20</v>
      </c>
      <c r="I93">
        <v>20</v>
      </c>
      <c r="J93">
        <v>27</v>
      </c>
      <c r="K93">
        <v>39</v>
      </c>
      <c r="L93">
        <v>83</v>
      </c>
      <c r="M93">
        <v>17</v>
      </c>
      <c r="N93">
        <v>24</v>
      </c>
      <c r="O93">
        <v>4.3</v>
      </c>
      <c r="P93">
        <v>26</v>
      </c>
      <c r="Q93">
        <v>11</v>
      </c>
      <c r="R93">
        <f t="shared" si="5"/>
        <v>1.42</v>
      </c>
      <c r="S93">
        <f t="shared" si="6"/>
        <v>2.71</v>
      </c>
      <c r="T93" s="2">
        <f t="shared" si="7"/>
        <v>1.07</v>
      </c>
      <c r="U93">
        <f t="shared" si="8"/>
        <v>23.95</v>
      </c>
      <c r="V93">
        <f t="shared" si="9"/>
        <v>4.5</v>
      </c>
    </row>
    <row r="94" spans="1:22" x14ac:dyDescent="0.3">
      <c r="A94">
        <v>93</v>
      </c>
      <c r="B94" t="s">
        <v>19</v>
      </c>
      <c r="C94">
        <v>11</v>
      </c>
      <c r="D94" t="s">
        <v>28</v>
      </c>
      <c r="E94">
        <v>1</v>
      </c>
      <c r="F94">
        <v>3</v>
      </c>
      <c r="G94">
        <v>1.5</v>
      </c>
      <c r="H94">
        <v>19</v>
      </c>
      <c r="I94">
        <v>11</v>
      </c>
      <c r="J94">
        <v>31</v>
      </c>
      <c r="K94">
        <v>78</v>
      </c>
      <c r="L94">
        <v>21</v>
      </c>
      <c r="M94">
        <v>24</v>
      </c>
      <c r="N94">
        <v>33</v>
      </c>
      <c r="O94">
        <v>5.9</v>
      </c>
      <c r="P94">
        <v>14</v>
      </c>
      <c r="Q94">
        <v>9</v>
      </c>
      <c r="R94">
        <f t="shared" si="5"/>
        <v>1.28</v>
      </c>
      <c r="S94">
        <f t="shared" si="6"/>
        <v>2.41</v>
      </c>
      <c r="T94" s="2">
        <f t="shared" si="7"/>
        <v>0.66</v>
      </c>
      <c r="U94">
        <f t="shared" si="8"/>
        <v>25.07</v>
      </c>
      <c r="V94">
        <f t="shared" si="9"/>
        <v>4.5</v>
      </c>
    </row>
    <row r="98" spans="9:13" x14ac:dyDescent="0.3">
      <c r="I98" s="6" t="s">
        <v>33</v>
      </c>
      <c r="M98" s="1" t="s">
        <v>34</v>
      </c>
    </row>
    <row r="100" spans="9:13" x14ac:dyDescent="0.3">
      <c r="I100" t="s">
        <v>32</v>
      </c>
    </row>
  </sheetData>
  <pageMargins left="0.75" right="0.75" top="1" bottom="1" header="0.5" footer="0.5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Валерія</cp:lastModifiedBy>
  <dcterms:created xsi:type="dcterms:W3CDTF">2026-05-19T11:54:34Z</dcterms:created>
  <dcterms:modified xsi:type="dcterms:W3CDTF">2026-05-20T05:56:15Z</dcterms:modified>
</cp:coreProperties>
</file>